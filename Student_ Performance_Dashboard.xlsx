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ubra\Downloads\"/>
    </mc:Choice>
  </mc:AlternateContent>
  <xr:revisionPtr revIDLastSave="0" documentId="8_{6AB15CC8-4803-4058-82FE-F03F1BEA815E}" xr6:coauthVersionLast="47" xr6:coauthVersionMax="47" xr10:uidLastSave="{00000000-0000-0000-0000-000000000000}"/>
  <bookViews>
    <workbookView xWindow="-108" yWindow="-108" windowWidth="23256" windowHeight="12456" activeTab="5" xr2:uid="{95C9FBD0-C30E-45B2-A791-C325F6A02065}"/>
  </bookViews>
  <sheets>
    <sheet name="Pivot_Subject" sheetId="3" r:id="rId1"/>
    <sheet name="Pivot_Class" sheetId="4" r:id="rId2"/>
    <sheet name="Pivot_City" sheetId="5" r:id="rId3"/>
    <sheet name="Student_Data" sheetId="2" r:id="rId4"/>
    <sheet name="Pivot_Gender" sheetId="6" r:id="rId5"/>
    <sheet name="Dashboard" sheetId="1" r:id="rId6"/>
  </sheets>
  <definedNames>
    <definedName name="ExternalData_1" localSheetId="3" hidden="1">Student_Data!$A$1:$I$1002</definedName>
    <definedName name="Slicer_City1">#N/A</definedName>
    <definedName name="Slicer_Class1">#N/A</definedName>
    <definedName name="Slicer_Gender1">#N/A</definedName>
    <definedName name="Slicer_Subject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C3" i="1"/>
  <c r="G3" i="1"/>
  <c r="I3" i="1"/>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44984C-5AA6-412D-95C9-4A2D2D1E25B5}" keepAlive="1" name="Query - Students" description="Connection to the 'Students' query in the workbook." type="5" refreshedVersion="8" background="1" saveData="1">
    <dbPr connection="Provider=Microsoft.Mashup.OleDb.1;Data Source=$Workbook$;Location=Students;Extended Properties=&quot;&quot;" command="SELECT * FROM [Students]"/>
  </connection>
</connections>
</file>

<file path=xl/sharedStrings.xml><?xml version="1.0" encoding="utf-8"?>
<sst xmlns="http://schemas.openxmlformats.org/spreadsheetml/2006/main" count="6052" uniqueCount="1136">
  <si>
    <t>Student ID</t>
  </si>
  <si>
    <t>Student Name</t>
  </si>
  <si>
    <t>Gender</t>
  </si>
  <si>
    <t>Class</t>
  </si>
  <si>
    <t>Section</t>
  </si>
  <si>
    <t>Subject</t>
  </si>
  <si>
    <t>Marks</t>
  </si>
  <si>
    <t>Attendance %</t>
  </si>
  <si>
    <t>City</t>
  </si>
  <si>
    <t>S0001</t>
  </si>
  <si>
    <t>Ananya Patra</t>
  </si>
  <si>
    <t>Female</t>
  </si>
  <si>
    <t>B</t>
  </si>
  <si>
    <t>Math</t>
  </si>
  <si>
    <t>Rourkela</t>
  </si>
  <si>
    <t>S0002</t>
  </si>
  <si>
    <t>Rohit Kumar</t>
  </si>
  <si>
    <t>C</t>
  </si>
  <si>
    <t>English</t>
  </si>
  <si>
    <t>Bhubaneswar</t>
  </si>
  <si>
    <t>S0003</t>
  </si>
  <si>
    <t>Kavya Kumar</t>
  </si>
  <si>
    <t>History</t>
  </si>
  <si>
    <t>S0004</t>
  </si>
  <si>
    <t>Rahul Mohanty</t>
  </si>
  <si>
    <t>Male</t>
  </si>
  <si>
    <t>Computer</t>
  </si>
  <si>
    <t>S0005</t>
  </si>
  <si>
    <t>Rahul Das</t>
  </si>
  <si>
    <t>S0006</t>
  </si>
  <si>
    <t>Amit Nayak</t>
  </si>
  <si>
    <t>Balasore</t>
  </si>
  <si>
    <t>S0007</t>
  </si>
  <si>
    <t>A</t>
  </si>
  <si>
    <t>Geography</t>
  </si>
  <si>
    <t>Cuttack</t>
  </si>
  <si>
    <t>S0008</t>
  </si>
  <si>
    <t>Sohan Kumar</t>
  </si>
  <si>
    <t>S0009</t>
  </si>
  <si>
    <t>Priya Mohanty</t>
  </si>
  <si>
    <t>Angul</t>
  </si>
  <si>
    <t>S0010</t>
  </si>
  <si>
    <t>Rohit Sahoo</t>
  </si>
  <si>
    <t>Science</t>
  </si>
  <si>
    <t>S0011</t>
  </si>
  <si>
    <t>Neha Patra</t>
  </si>
  <si>
    <t>Puri</t>
  </si>
  <si>
    <t>S0012</t>
  </si>
  <si>
    <t>Kavya Das</t>
  </si>
  <si>
    <t>Sambalpur</t>
  </si>
  <si>
    <t>S0013</t>
  </si>
  <si>
    <t>Kiran Sahoo</t>
  </si>
  <si>
    <t>S0014</t>
  </si>
  <si>
    <t>Sohan Mohanty</t>
  </si>
  <si>
    <t>S0015</t>
  </si>
  <si>
    <t>Riya Patra</t>
  </si>
  <si>
    <t>S0016</t>
  </si>
  <si>
    <t>Sneha Das</t>
  </si>
  <si>
    <t>S0017</t>
  </si>
  <si>
    <t>Riya Kumar</t>
  </si>
  <si>
    <t>S0018</t>
  </si>
  <si>
    <t>Priya Nayak</t>
  </si>
  <si>
    <t>S0019</t>
  </si>
  <si>
    <t>Amit Kumar</t>
  </si>
  <si>
    <t>S0020</t>
  </si>
  <si>
    <t>S0021</t>
  </si>
  <si>
    <t>Riya Nayak</t>
  </si>
  <si>
    <t>S0022</t>
  </si>
  <si>
    <t>Riya Sahoo</t>
  </si>
  <si>
    <t>S0023</t>
  </si>
  <si>
    <t>Kavya Mohanty</t>
  </si>
  <si>
    <t>S0024</t>
  </si>
  <si>
    <t>Sanjay Mohanty</t>
  </si>
  <si>
    <t>S0025</t>
  </si>
  <si>
    <t>S0026</t>
  </si>
  <si>
    <t>Vivaan Mohanty</t>
  </si>
  <si>
    <t>S0027</t>
  </si>
  <si>
    <t>Aditya Kumar</t>
  </si>
  <si>
    <t>S0028</t>
  </si>
  <si>
    <t>S0029</t>
  </si>
  <si>
    <t>Ananya Nayak</t>
  </si>
  <si>
    <t>S0030</t>
  </si>
  <si>
    <t>Rahul Sahoo</t>
  </si>
  <si>
    <t>S0031</t>
  </si>
  <si>
    <t>Sneha Patra</t>
  </si>
  <si>
    <t>S0032</t>
  </si>
  <si>
    <t>S0033</t>
  </si>
  <si>
    <t>S0034</t>
  </si>
  <si>
    <t>Amit Patra</t>
  </si>
  <si>
    <t>S0035</t>
  </si>
  <si>
    <t>Sohan Patra</t>
  </si>
  <si>
    <t>S0036</t>
  </si>
  <si>
    <t>S0037</t>
  </si>
  <si>
    <t>S0038</t>
  </si>
  <si>
    <t>Sohan Das</t>
  </si>
  <si>
    <t>S0039</t>
  </si>
  <si>
    <t>Rohit Nayak</t>
  </si>
  <si>
    <t>S0040</t>
  </si>
  <si>
    <t>S0041</t>
  </si>
  <si>
    <t>S0042</t>
  </si>
  <si>
    <t>Aditya Das</t>
  </si>
  <si>
    <t>S0043</t>
  </si>
  <si>
    <t>Aarav Nayak</t>
  </si>
  <si>
    <t>S0044</t>
  </si>
  <si>
    <t>Aarav Patra</t>
  </si>
  <si>
    <t>S0045</t>
  </si>
  <si>
    <t>S0046</t>
  </si>
  <si>
    <t>Priya Sahoo</t>
  </si>
  <si>
    <t>S0047</t>
  </si>
  <si>
    <t>Ananya Mohanty</t>
  </si>
  <si>
    <t>S0048</t>
  </si>
  <si>
    <t>S0049</t>
  </si>
  <si>
    <t>Pooja Das</t>
  </si>
  <si>
    <t>S0050</t>
  </si>
  <si>
    <t>Rahul Kumar</t>
  </si>
  <si>
    <t>S0051</t>
  </si>
  <si>
    <t>Priya Das</t>
  </si>
  <si>
    <t>S0052</t>
  </si>
  <si>
    <t>Vivaan Sahoo</t>
  </si>
  <si>
    <t>S0053</t>
  </si>
  <si>
    <t>S0054</t>
  </si>
  <si>
    <t>Rahul Nayak</t>
  </si>
  <si>
    <t>S0055</t>
  </si>
  <si>
    <t>Aarav Mohanty</t>
  </si>
  <si>
    <t>S0056</t>
  </si>
  <si>
    <t>S0057</t>
  </si>
  <si>
    <t>Vivaan Kumar</t>
  </si>
  <si>
    <t>S0058</t>
  </si>
  <si>
    <t>S0059</t>
  </si>
  <si>
    <t>Neha Mohanty</t>
  </si>
  <si>
    <t>S0060</t>
  </si>
  <si>
    <t>S0061</t>
  </si>
  <si>
    <t>Pooja Patra</t>
  </si>
  <si>
    <t>S0062</t>
  </si>
  <si>
    <t>S0063</t>
  </si>
  <si>
    <t>Priya Kumar</t>
  </si>
  <si>
    <t>S0064</t>
  </si>
  <si>
    <t>S0065</t>
  </si>
  <si>
    <t>S0066</t>
  </si>
  <si>
    <t>S0067</t>
  </si>
  <si>
    <t>S0068</t>
  </si>
  <si>
    <t>Aarav Kumar</t>
  </si>
  <si>
    <t>S0069</t>
  </si>
  <si>
    <t>Sneha Nayak</t>
  </si>
  <si>
    <t>S0070</t>
  </si>
  <si>
    <t>S0071</t>
  </si>
  <si>
    <t>S0072</t>
  </si>
  <si>
    <t>Sanjay Sahoo</t>
  </si>
  <si>
    <t>S0073</t>
  </si>
  <si>
    <t>S0074</t>
  </si>
  <si>
    <t>S0075</t>
  </si>
  <si>
    <t>Sanjay Das</t>
  </si>
  <si>
    <t>S0076</t>
  </si>
  <si>
    <t>S0077</t>
  </si>
  <si>
    <t>S0078</t>
  </si>
  <si>
    <t>S0079</t>
  </si>
  <si>
    <t>S0080</t>
  </si>
  <si>
    <t>S0081</t>
  </si>
  <si>
    <t>Sanjay Nayak</t>
  </si>
  <si>
    <t>S0082</t>
  </si>
  <si>
    <t>S0083</t>
  </si>
  <si>
    <t>S0084</t>
  </si>
  <si>
    <t>S0085</t>
  </si>
  <si>
    <t>S0086</t>
  </si>
  <si>
    <t>Ananya Kumar</t>
  </si>
  <si>
    <t>S0087</t>
  </si>
  <si>
    <t>S0088</t>
  </si>
  <si>
    <t>S0089</t>
  </si>
  <si>
    <t>Pooja Sahoo</t>
  </si>
  <si>
    <t>S0090</t>
  </si>
  <si>
    <t>S0091</t>
  </si>
  <si>
    <t>Kiran Mohanty</t>
  </si>
  <si>
    <t>S0092</t>
  </si>
  <si>
    <t>Aditya Mohanty</t>
  </si>
  <si>
    <t>S0093</t>
  </si>
  <si>
    <t>S0094</t>
  </si>
  <si>
    <t>Vivaan Patra</t>
  </si>
  <si>
    <t>S0095</t>
  </si>
  <si>
    <t>S0096</t>
  </si>
  <si>
    <t>Amit Das</t>
  </si>
  <si>
    <t>S0097</t>
  </si>
  <si>
    <t>S0098</t>
  </si>
  <si>
    <t>Kiran Patra</t>
  </si>
  <si>
    <t>S0099</t>
  </si>
  <si>
    <t>Kavya Sahoo</t>
  </si>
  <si>
    <t>S0100</t>
  </si>
  <si>
    <t>Neha Nayak</t>
  </si>
  <si>
    <t>S0101</t>
  </si>
  <si>
    <t>S0102</t>
  </si>
  <si>
    <t>Rohit Mohanty</t>
  </si>
  <si>
    <t>S0103</t>
  </si>
  <si>
    <t>S0104</t>
  </si>
  <si>
    <t>S0105</t>
  </si>
  <si>
    <t>S0106</t>
  </si>
  <si>
    <t>S0107</t>
  </si>
  <si>
    <t>Amit Sahoo</t>
  </si>
  <si>
    <t>S0108</t>
  </si>
  <si>
    <t>S0109</t>
  </si>
  <si>
    <t>Kavya Patra</t>
  </si>
  <si>
    <t>S0110</t>
  </si>
  <si>
    <t>Riya Das</t>
  </si>
  <si>
    <t>S0111</t>
  </si>
  <si>
    <t>S0112</t>
  </si>
  <si>
    <t>S0113</t>
  </si>
  <si>
    <t>Pooja Kumar</t>
  </si>
  <si>
    <t>S0114</t>
  </si>
  <si>
    <t>S0115</t>
  </si>
  <si>
    <t>S0116</t>
  </si>
  <si>
    <t>S0117</t>
  </si>
  <si>
    <t>S0118</t>
  </si>
  <si>
    <t>S0119</t>
  </si>
  <si>
    <t>Aditya Patra</t>
  </si>
  <si>
    <t>S0120</t>
  </si>
  <si>
    <t>S0121</t>
  </si>
  <si>
    <t>Aarav Das</t>
  </si>
  <si>
    <t>S0122</t>
  </si>
  <si>
    <t>S0123</t>
  </si>
  <si>
    <t>S0124</t>
  </si>
  <si>
    <t>S0125</t>
  </si>
  <si>
    <t>S0126</t>
  </si>
  <si>
    <t>S0127</t>
  </si>
  <si>
    <t>Ananya Das</t>
  </si>
  <si>
    <t>S0128</t>
  </si>
  <si>
    <t>S0129</t>
  </si>
  <si>
    <t>Amit Mohanty</t>
  </si>
  <si>
    <t>S0130</t>
  </si>
  <si>
    <t>Pooja Mohanty</t>
  </si>
  <si>
    <t>S0131</t>
  </si>
  <si>
    <t>Vivaan Nayak</t>
  </si>
  <si>
    <t>S0132</t>
  </si>
  <si>
    <t>Neha Kumar</t>
  </si>
  <si>
    <t>S0133</t>
  </si>
  <si>
    <t>Vivaan Das</t>
  </si>
  <si>
    <t>S0134</t>
  </si>
  <si>
    <t>S0135</t>
  </si>
  <si>
    <t>S0136</t>
  </si>
  <si>
    <t>Kavya Nayak</t>
  </si>
  <si>
    <t>S0137</t>
  </si>
  <si>
    <t>S0138</t>
  </si>
  <si>
    <t>Aarav Sahoo</t>
  </si>
  <si>
    <t>S0139</t>
  </si>
  <si>
    <t>S0140</t>
  </si>
  <si>
    <t>Kiran Kumar</t>
  </si>
  <si>
    <t>S0141</t>
  </si>
  <si>
    <t>Aditya Nayak</t>
  </si>
  <si>
    <t>S0142</t>
  </si>
  <si>
    <t>S0143</t>
  </si>
  <si>
    <t>Sohan Sahoo</t>
  </si>
  <si>
    <t>S0144</t>
  </si>
  <si>
    <t>S0145</t>
  </si>
  <si>
    <t>S0146</t>
  </si>
  <si>
    <t>S0147</t>
  </si>
  <si>
    <t>Sneha Mohanty</t>
  </si>
  <si>
    <t>S0148</t>
  </si>
  <si>
    <t>Riya Mohanty</t>
  </si>
  <si>
    <t>S0149</t>
  </si>
  <si>
    <t>S0150</t>
  </si>
  <si>
    <t>S0151</t>
  </si>
  <si>
    <t>S0152</t>
  </si>
  <si>
    <t>S0153</t>
  </si>
  <si>
    <t>S0154</t>
  </si>
  <si>
    <t>S0155</t>
  </si>
  <si>
    <t>S0156</t>
  </si>
  <si>
    <t>S0157</t>
  </si>
  <si>
    <t>Rahul Patra</t>
  </si>
  <si>
    <t>S0158</t>
  </si>
  <si>
    <t>S0159</t>
  </si>
  <si>
    <t>S0160</t>
  </si>
  <si>
    <t>Sneha Kumar</t>
  </si>
  <si>
    <t>S0161</t>
  </si>
  <si>
    <t>S0162</t>
  </si>
  <si>
    <t>S0163</t>
  </si>
  <si>
    <t>S0164</t>
  </si>
  <si>
    <t>S0165</t>
  </si>
  <si>
    <t>S0166</t>
  </si>
  <si>
    <t>S0167</t>
  </si>
  <si>
    <t>S0168</t>
  </si>
  <si>
    <t>S0169</t>
  </si>
  <si>
    <t>S0170</t>
  </si>
  <si>
    <t>S0171</t>
  </si>
  <si>
    <t>S0172</t>
  </si>
  <si>
    <t>S0173</t>
  </si>
  <si>
    <t>S0174</t>
  </si>
  <si>
    <t>S0175</t>
  </si>
  <si>
    <t>S0176</t>
  </si>
  <si>
    <t>Kiran Das</t>
  </si>
  <si>
    <t>S0177</t>
  </si>
  <si>
    <t>S0178</t>
  </si>
  <si>
    <t>S0179</t>
  </si>
  <si>
    <t>S0180</t>
  </si>
  <si>
    <t>S0181</t>
  </si>
  <si>
    <t>S0182</t>
  </si>
  <si>
    <t>S0183</t>
  </si>
  <si>
    <t>S0184</t>
  </si>
  <si>
    <t>S0185</t>
  </si>
  <si>
    <t>S0186</t>
  </si>
  <si>
    <t>S0187</t>
  </si>
  <si>
    <t>Ananya Sahoo</t>
  </si>
  <si>
    <t>S0188</t>
  </si>
  <si>
    <t>S0189</t>
  </si>
  <si>
    <t>S0190</t>
  </si>
  <si>
    <t>S0191</t>
  </si>
  <si>
    <t>S0192</t>
  </si>
  <si>
    <t>S0193</t>
  </si>
  <si>
    <t>S0194</t>
  </si>
  <si>
    <t>S0195</t>
  </si>
  <si>
    <t>S0196</t>
  </si>
  <si>
    <t>S0197</t>
  </si>
  <si>
    <t>S0198</t>
  </si>
  <si>
    <t>S0199</t>
  </si>
  <si>
    <t>S0200</t>
  </si>
  <si>
    <t>S0201</t>
  </si>
  <si>
    <t>S0202</t>
  </si>
  <si>
    <t>S0203</t>
  </si>
  <si>
    <t>S0204</t>
  </si>
  <si>
    <t>S0205</t>
  </si>
  <si>
    <t>Neha Das</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</si>
  <si>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</si>
  <si>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</si>
  <si>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</si>
  <si>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</si>
  <si>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</si>
  <si>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</si>
  <si>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</si>
  <si>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</si>
  <si>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</si>
  <si>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</si>
  <si>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</si>
  <si>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</si>
  <si>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</si>
  <si>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</si>
  <si>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</si>
  <si>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</si>
  <si>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</si>
  <si>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</si>
  <si>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</si>
  <si>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</si>
  <si>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</si>
  <si>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</si>
  <si>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</si>
  <si>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</si>
  <si>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</si>
  <si>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</si>
  <si>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</si>
  <si>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</si>
  <si>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</si>
  <si>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</si>
  <si>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</si>
  <si>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</si>
  <si>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</si>
  <si>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</si>
  <si>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</si>
  <si>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</si>
  <si>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</si>
  <si>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</si>
  <si>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</si>
  <si>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</si>
  <si>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</si>
  <si>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</si>
  <si>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</si>
  <si>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</si>
  <si>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</si>
  <si>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</si>
  <si>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</si>
  <si>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</si>
  <si>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</si>
  <si>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</si>
  <si>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</si>
  <si>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</si>
  <si>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</si>
  <si>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Priya Patra</t>
  </si>
  <si>
    <t>S0259</t>
  </si>
  <si>
    <t>S0260</t>
  </si>
  <si>
    <t>S0261</t>
  </si>
  <si>
    <t>S0262</t>
  </si>
  <si>
    <t>S0263</t>
  </si>
  <si>
    <t>S0264</t>
  </si>
  <si>
    <t>S0265</t>
  </si>
  <si>
    <t>S0266</t>
  </si>
  <si>
    <t>S0267</t>
  </si>
  <si>
    <t>Kiran Nayak</t>
  </si>
  <si>
    <t>S0268</t>
  </si>
  <si>
    <t>S0269</t>
  </si>
  <si>
    <t>Sneha Sahoo</t>
  </si>
  <si>
    <t>S0270</t>
  </si>
  <si>
    <t>S0271</t>
  </si>
  <si>
    <t>S0272</t>
  </si>
  <si>
    <t>S0273</t>
  </si>
  <si>
    <t>S0274</t>
  </si>
  <si>
    <t>S0275</t>
  </si>
  <si>
    <t>S0276</t>
  </si>
  <si>
    <t>S0277</t>
  </si>
  <si>
    <t>S0278</t>
  </si>
  <si>
    <t>S0279</t>
  </si>
  <si>
    <t>S0280</t>
  </si>
  <si>
    <t>Neha Sahoo</t>
  </si>
  <si>
    <t>S0281</t>
  </si>
  <si>
    <t>S0282</t>
  </si>
  <si>
    <t>S0283</t>
  </si>
  <si>
    <t>S0284</t>
  </si>
  <si>
    <t>S0285</t>
  </si>
  <si>
    <t>Aditya Sahoo</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</si>
  <si>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</si>
  <si>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</si>
  <si>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</si>
  <si>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</si>
  <si>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</si>
  <si>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</si>
  <si>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</si>
  <si>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</si>
  <si>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</si>
  <si>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</si>
  <si>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</si>
  <si>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</si>
  <si>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</si>
  <si>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</si>
  <si>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</si>
  <si>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</si>
  <si>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</si>
  <si>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</si>
  <si>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</si>
  <si>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</si>
  <si>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</si>
  <si>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Rohit Patra</t>
  </si>
  <si>
    <t>S0307</t>
  </si>
  <si>
    <t>S0308</t>
  </si>
  <si>
    <t>S0309</t>
  </si>
  <si>
    <t>S0310</t>
  </si>
  <si>
    <t>S0311</t>
  </si>
  <si>
    <t>S0312</t>
  </si>
  <si>
    <t>S0313</t>
  </si>
  <si>
    <t>S0314</t>
  </si>
  <si>
    <t>Sanjay Patra</t>
  </si>
  <si>
    <t>S0315</t>
  </si>
  <si>
    <t>S0316</t>
  </si>
  <si>
    <t>S0317</t>
  </si>
  <si>
    <t>S0318</t>
  </si>
  <si>
    <t>S0319</t>
  </si>
  <si>
    <t>S0320</t>
  </si>
  <si>
    <t>S0321</t>
  </si>
  <si>
    <t>S0322</t>
  </si>
  <si>
    <t>S0323</t>
  </si>
  <si>
    <t>S0324</t>
  </si>
  <si>
    <t>S0325</t>
  </si>
  <si>
    <t>S0326</t>
  </si>
  <si>
    <t>S0327</t>
  </si>
  <si>
    <t>S0328</t>
  </si>
  <si>
    <t>S0329</t>
  </si>
  <si>
    <t>Pooja Nayak</t>
  </si>
  <si>
    <t>S0330</t>
  </si>
  <si>
    <t>S0331</t>
  </si>
  <si>
    <t>S0332</t>
  </si>
  <si>
    <t>Sohan Nayak</t>
  </si>
  <si>
    <t>S0333</t>
  </si>
  <si>
    <t>S0334</t>
  </si>
  <si>
    <t>Rohit Das</t>
  </si>
  <si>
    <t>S0335</t>
  </si>
  <si>
    <t>Sanjay Kumar</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</si>
  <si>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</si>
  <si>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</si>
  <si>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</si>
  <si>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</si>
  <si>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</si>
  <si>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</si>
  <si>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</si>
  <si>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</si>
  <si>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</si>
  <si>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</si>
  <si>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</si>
  <si>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</si>
  <si>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</si>
  <si>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</si>
  <si>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</si>
  <si>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</si>
  <si>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</si>
  <si>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</si>
  <si>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</si>
  <si>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</si>
  <si>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</si>
  <si>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</si>
  <si>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</si>
  <si>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</si>
  <si>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</si>
  <si>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</si>
  <si>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</si>
  <si>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</si>
  <si>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</si>
  <si>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</si>
  <si>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</si>
  <si>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</si>
  <si>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</si>
  <si>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</si>
  <si>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</si>
  <si>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</si>
  <si>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</si>
  <si>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</si>
  <si>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</si>
  <si>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</si>
  <si>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</si>
  <si>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</si>
  <si>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</si>
  <si>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</si>
  <si>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</si>
  <si>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</si>
  <si>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</si>
  <si>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</si>
  <si>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</si>
  <si>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</si>
  <si>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</si>
  <si>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</si>
  <si>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</si>
  <si>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</si>
  <si>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</si>
  <si>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</si>
  <si>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</si>
  <si>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</si>
  <si>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</si>
  <si>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</si>
  <si>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</si>
  <si>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</si>
  <si>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</si>
  <si>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</si>
  <si>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</si>
  <si>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</si>
  <si>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</si>
  <si>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</si>
  <si>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</si>
  <si>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</si>
  <si>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</si>
  <si>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</si>
  <si>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</si>
  <si>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</si>
  <si>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</si>
  <si>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</si>
  <si>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</si>
  <si>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</si>
  <si>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</si>
  <si>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</si>
  <si>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</si>
  <si>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</si>
  <si>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</si>
  <si>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</si>
  <si>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</si>
  <si>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</si>
  <si>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</si>
  <si>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</si>
  <si>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</si>
  <si>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</si>
  <si>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</si>
  <si>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</si>
  <si>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</si>
  <si>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</si>
  <si>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</si>
  <si>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</si>
  <si>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</si>
  <si>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</si>
  <si>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</si>
  <si>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</si>
  <si>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</si>
  <si>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</si>
  <si>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</si>
  <si>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</si>
  <si>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</si>
  <si>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</si>
  <si>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</si>
  <si>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</si>
  <si>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</si>
  <si>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</si>
  <si>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</si>
  <si>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</si>
  <si>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</si>
  <si>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</si>
  <si>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</si>
  <si>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</si>
  <si>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</si>
  <si>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</si>
  <si>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</si>
  <si>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</si>
  <si>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</si>
  <si>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</si>
  <si>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</si>
  <si>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</si>
  <si>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</si>
  <si>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</si>
  <si>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</si>
  <si>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</si>
  <si>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</si>
  <si>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</si>
  <si>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</si>
  <si>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</si>
  <si>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</si>
  <si>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</si>
  <si>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</si>
  <si>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</si>
  <si>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</si>
  <si>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</si>
  <si>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</si>
  <si>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</si>
  <si>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</si>
  <si>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</si>
  <si>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</si>
  <si>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</si>
  <si>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</si>
  <si>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</si>
  <si>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</si>
  <si>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</si>
  <si>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</si>
  <si>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</si>
  <si>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</si>
  <si>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</si>
  <si>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</si>
  <si>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</si>
  <si>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</si>
  <si>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</si>
  <si>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</si>
  <si>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</si>
  <si>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</si>
  <si>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</si>
  <si>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</si>
  <si>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</si>
  <si>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</si>
  <si>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</si>
  <si>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</si>
  <si>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</si>
  <si>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</si>
  <si>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</si>
  <si>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</si>
  <si>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</si>
  <si>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</si>
  <si>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</si>
  <si>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</si>
  <si>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</si>
  <si>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</si>
  <si>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</si>
  <si>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</si>
  <si>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</si>
  <si>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</si>
  <si>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</si>
  <si>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</si>
  <si>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</si>
  <si>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</si>
  <si>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</si>
  <si>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</si>
  <si>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</si>
  <si>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</si>
  <si>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</si>
  <si>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</si>
  <si>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</si>
  <si>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</si>
  <si>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</si>
  <si>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</si>
  <si>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</si>
  <si>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</si>
  <si>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</si>
  <si>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</si>
  <si>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</si>
  <si>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</si>
  <si>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</si>
  <si>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</si>
  <si>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</si>
  <si>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</si>
  <si>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</si>
  <si>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</si>
  <si>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</si>
  <si>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</si>
  <si>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</si>
  <si>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</si>
  <si>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</si>
  <si>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</si>
  <si>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</si>
  <si>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</si>
  <si>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</si>
  <si>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</si>
  <si>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</si>
  <si>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</si>
  <si>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</si>
  <si>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</si>
  <si>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</si>
  <si>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</si>
  <si>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</si>
  <si>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</si>
  <si>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</si>
  <si>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</si>
  <si>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</si>
  <si>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</si>
  <si>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</si>
  <si>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</si>
  <si>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</si>
  <si>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</si>
  <si>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</si>
  <si>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</si>
  <si>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</si>
  <si>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</si>
  <si>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</si>
  <si>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</si>
  <si>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</si>
  <si>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</si>
  <si>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</si>
  <si>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</si>
  <si>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</si>
  <si>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</si>
  <si>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</si>
  <si>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</si>
  <si>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</si>
  <si>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</si>
  <si>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</si>
  <si>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</si>
  <si>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</si>
  <si>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</si>
  <si>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</si>
  <si>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</si>
  <si>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</si>
  <si>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</si>
  <si>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</si>
  <si>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</si>
  <si>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</si>
  <si>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</si>
  <si>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</si>
  <si>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</si>
  <si>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</si>
  <si>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</si>
  <si>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</si>
  <si>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</si>
  <si>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</si>
  <si>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</si>
  <si>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</si>
  <si>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</si>
  <si>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</si>
  <si>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</si>
  <si>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</si>
  <si>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</si>
  <si>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</si>
  <si>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</si>
  <si>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</si>
  <si>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</si>
  <si>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</si>
  <si>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</si>
  <si>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</si>
  <si>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</si>
  <si>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</si>
  <si>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</si>
  <si>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</si>
  <si>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</si>
  <si>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</si>
  <si>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</si>
  <si>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</si>
  <si>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</si>
  <si>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</si>
  <si>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</si>
  <si>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</si>
  <si>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</si>
  <si>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</si>
  <si>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</si>
  <si>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</si>
  <si>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</si>
  <si>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</si>
  <si>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</si>
  <si>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</si>
  <si>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</si>
  <si>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</si>
  <si>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</si>
  <si>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</si>
  <si>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</si>
  <si>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</si>
  <si>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</si>
  <si>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</si>
  <si>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</si>
  <si>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</si>
  <si>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</si>
  <si>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</si>
  <si>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</si>
  <si>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</si>
  <si>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</si>
  <si>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</si>
  <si>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</si>
  <si>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</si>
  <si>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</si>
  <si>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</si>
  <si>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</si>
  <si>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</si>
  <si>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</si>
  <si>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</si>
  <si>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</si>
  <si>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</si>
  <si>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</si>
  <si>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</si>
  <si>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</si>
  <si>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</si>
  <si>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</si>
  <si>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</si>
  <si>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</si>
  <si>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</si>
  <si>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</si>
  <si>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</si>
  <si>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</si>
  <si>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</si>
  <si>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</si>
  <si>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</si>
  <si>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</si>
  <si>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</si>
  <si>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</si>
  <si>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</si>
  <si>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</si>
  <si>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</si>
  <si>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</si>
  <si>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</si>
  <si>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</si>
  <si>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</si>
  <si>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</si>
  <si>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</si>
  <si>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</si>
  <si>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</si>
  <si>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</si>
  <si>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</si>
  <si>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</si>
  <si>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</si>
  <si>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</si>
  <si>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</si>
  <si>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</si>
  <si>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</si>
  <si>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</si>
  <si>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</si>
  <si>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</si>
  <si>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</si>
  <si>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</si>
  <si>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</si>
  <si>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</si>
  <si>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</si>
  <si>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</si>
  <si>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</si>
  <si>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</si>
  <si>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</si>
  <si>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</si>
  <si>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</si>
  <si>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</si>
  <si>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</si>
  <si>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</si>
  <si>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</si>
  <si>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</si>
  <si>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</si>
  <si>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</si>
  <si>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</si>
  <si>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</si>
  <si>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</si>
  <si>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</si>
  <si>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</si>
  <si>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</si>
  <si>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</si>
  <si>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</si>
  <si>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</si>
  <si>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</si>
  <si>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</si>
  <si>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</si>
  <si>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</si>
  <si>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</si>
  <si>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</si>
  <si>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</si>
  <si>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</si>
  <si>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</si>
  <si>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</si>
  <si>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</si>
  <si>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</si>
  <si>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</si>
  <si>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</si>
  <si>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</si>
  <si>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</si>
  <si>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</si>
  <si>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</si>
  <si>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</si>
  <si>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</si>
  <si>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</si>
  <si>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</si>
  <si>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</si>
  <si>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</si>
  <si>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</si>
  <si>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</si>
  <si>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</si>
  <si>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</si>
  <si>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</si>
  <si>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</si>
  <si>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</si>
  <si>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</si>
  <si>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</si>
  <si>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</si>
  <si>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</si>
  <si>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</si>
  <si>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</si>
  <si>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</si>
  <si>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</si>
  <si>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</si>
  <si>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</si>
  <si>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</si>
  <si>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</si>
  <si>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</si>
  <si>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</si>
  <si>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</si>
  <si>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</si>
  <si>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</si>
  <si>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</si>
  <si>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</si>
  <si>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</si>
  <si>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</si>
  <si>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</si>
  <si>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</si>
  <si>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</si>
  <si>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</si>
  <si>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</si>
  <si>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</si>
  <si>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</si>
  <si>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</si>
  <si>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</si>
  <si>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</si>
  <si>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</si>
  <si>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</si>
  <si>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</si>
  <si>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</si>
  <si>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</si>
  <si>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</si>
  <si>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</si>
  <si>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</si>
  <si>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</si>
  <si>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</si>
  <si>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</si>
  <si>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</si>
  <si>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</si>
  <si>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</si>
  <si>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</si>
  <si>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</si>
  <si>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</si>
  <si>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</si>
  <si>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</si>
  <si>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</si>
  <si>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</si>
  <si>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</si>
  <si>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</si>
  <si>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</si>
  <si>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</si>
  <si>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</si>
  <si>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</si>
  <si>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</si>
  <si>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</si>
  <si>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</si>
  <si>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</si>
  <si>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</si>
  <si>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</si>
  <si>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</si>
  <si>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</si>
  <si>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</si>
  <si>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</si>
  <si>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</si>
  <si>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</si>
  <si>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</si>
  <si>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</si>
  <si>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</si>
  <si>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</si>
  <si>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</si>
  <si>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</si>
  <si>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</si>
  <si>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</si>
  <si>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</si>
  <si>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</si>
  <si>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</si>
  <si>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</si>
  <si>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</si>
  <si>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</si>
  <si>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</si>
  <si>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</si>
  <si>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</si>
  <si>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</si>
  <si>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</si>
  <si>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</si>
  <si>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</si>
  <si>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</si>
  <si>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</si>
  <si>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</si>
  <si>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</si>
  <si>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</si>
  <si>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</si>
  <si>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</si>
  <si>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</si>
  <si>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</si>
  <si>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</si>
  <si>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</si>
  <si>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</si>
  <si>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</si>
  <si>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</si>
  <si>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</si>
  <si>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</si>
  <si>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</si>
  <si>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</si>
  <si>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</si>
  <si>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</si>
  <si>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</si>
  <si>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</si>
  <si>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</si>
  <si>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</si>
  <si>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</si>
  <si>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</si>
  <si>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</si>
  <si>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</si>
  <si>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</si>
  <si>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</si>
  <si>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</si>
  <si>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</si>
  <si>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</si>
  <si>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</si>
  <si>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</si>
  <si>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</si>
  <si>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</si>
  <si>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</si>
  <si>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</si>
  <si>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</si>
  <si>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</si>
  <si>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</si>
  <si>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</si>
  <si>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</si>
  <si>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</si>
  <si>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</si>
  <si>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</si>
  <si>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</si>
  <si>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</si>
  <si>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</si>
  <si>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</si>
  <si>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</si>
  <si>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</si>
  <si>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</si>
  <si>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</si>
  <si>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</si>
  <si>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</si>
  <si>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</si>
  <si>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</si>
  <si>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</si>
  <si>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</si>
  <si>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</si>
  <si>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</si>
  <si>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</si>
  <si>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</si>
  <si>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</si>
  <si>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</si>
  <si>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</si>
  <si>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</si>
  <si>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</si>
  <si>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</si>
  <si>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</si>
  <si>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</si>
  <si>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</si>
  <si>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</si>
  <si>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</si>
  <si>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</si>
  <si>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</si>
  <si>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</si>
  <si>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</si>
  <si>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</si>
  <si>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</si>
  <si>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</si>
  <si>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</si>
  <si>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</si>
  <si>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</si>
  <si>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</si>
  <si>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</si>
  <si>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</si>
  <si>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</si>
  <si>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</si>
  <si>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</si>
  <si>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</si>
  <si>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</si>
  <si>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</si>
  <si>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</si>
  <si>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</si>
  <si>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</si>
  <si>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</si>
  <si>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</si>
  <si>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</si>
  <si>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</si>
  <si>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</si>
  <si>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</si>
  <si>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</si>
  <si>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</si>
  <si>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</si>
  <si>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</si>
  <si>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</si>
  <si>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</si>
  <si>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</si>
  <si>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</si>
  <si>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</si>
  <si>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</si>
  <si>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</si>
  <si>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</si>
  <si>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</si>
  <si>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</si>
  <si>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</si>
  <si>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</si>
  <si>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</si>
  <si>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</si>
  <si>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</si>
  <si>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</si>
  <si>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</si>
  <si>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</si>
  <si>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</si>
  <si>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</si>
  <si>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</si>
  <si>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</si>
  <si>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</si>
  <si>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</si>
  <si>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</si>
  <si>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</si>
  <si>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</si>
  <si>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</si>
  <si>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</si>
  <si>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</si>
  <si>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</si>
  <si>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</si>
  <si>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</si>
  <si>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</si>
  <si>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</si>
  <si>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S0993</t>
  </si>
  <si>
    <t>S0994</t>
  </si>
  <si>
    <t>S0995</t>
  </si>
  <si>
    <t>S0996</t>
  </si>
  <si>
    <t>S0997</t>
  </si>
  <si>
    <t>S0998</t>
  </si>
  <si>
    <t>S0999</t>
  </si>
  <si>
    <t>S1000</t>
  </si>
  <si>
    <t>S1001</t>
  </si>
  <si>
    <t>Grade</t>
  </si>
  <si>
    <t>Result</t>
  </si>
  <si>
    <t>Row Labels</t>
  </si>
  <si>
    <t>Grand Total</t>
  </si>
  <si>
    <t>Average of Marks</t>
  </si>
  <si>
    <t>Total Student</t>
  </si>
  <si>
    <t>Average Marks</t>
  </si>
  <si>
    <t>Highest Marks</t>
  </si>
  <si>
    <t>Pass %</t>
  </si>
  <si>
    <t>Count of Marks</t>
  </si>
  <si>
    <t>STUDENT  PERFORMANCE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</si>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</sst>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20"/>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rgb="FF00B0F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0" fillId="0" borderId="4" xfId="0" applyBorder="1"/>
    <xf numFmtId="0" fontId="3" fillId="3" borderId="1" xfId="0" applyFont="1" applyFill="1" applyBorder="1" applyAlignment="1">
      <alignment horizontal="center"/>
    </xf>
    <xf numFmtId="0" fontId="4" fillId="3" borderId="2" xfId="0" applyFont="1" applyFill="1" applyBorder="1"/>
    <xf numFmtId="0" fontId="3" fillId="3" borderId="2" xfId="0" applyFont="1" applyFill="1" applyBorder="1"/>
    <xf numFmtId="0" fontId="0" fillId="3" borderId="2" xfId="0" applyFont="1" applyFill="1" applyBorder="1"/>
    <xf numFmtId="0" fontId="3" fillId="3" borderId="2" xfId="0" applyFont="1" applyFill="1" applyBorder="1" applyAlignment="1">
      <alignment horizontal="center"/>
    </xf>
    <xf numFmtId="0" fontId="0" fillId="3" borderId="3" xfId="0" applyFont="1" applyFill="1" applyBorder="1"/>
    <xf numFmtId="0" fontId="1" fillId="3" borderId="4" xfId="0" applyFont="1" applyFill="1" applyBorder="1" applyAlignment="1">
      <alignment horizontal="center"/>
    </xf>
    <xf numFmtId="0" fontId="2" fillId="3" borderId="0" xfId="0" applyFont="1" applyFill="1" applyBorder="1"/>
    <xf numFmtId="0" fontId="1" fillId="3" borderId="0" xfId="0" applyFont="1" applyFill="1" applyBorder="1"/>
    <xf numFmtId="0" fontId="0" fillId="3" borderId="0" xfId="0" applyFont="1" applyFill="1" applyBorder="1"/>
    <xf numFmtId="0" fontId="1" fillId="3" borderId="0" xfId="0" applyFont="1" applyFill="1" applyBorder="1" applyAlignment="1">
      <alignment horizontal="center"/>
    </xf>
    <xf numFmtId="0" fontId="0" fillId="3" borderId="5" xfId="0" applyFont="1" applyFill="1" applyBorder="1"/>
    <xf numFmtId="0" fontId="0" fillId="3" borderId="6" xfId="0" applyFont="1" applyFill="1" applyBorder="1"/>
    <xf numFmtId="0" fontId="0" fillId="3" borderId="7" xfId="0" applyFont="1" applyFill="1" applyBorder="1"/>
    <xf numFmtId="0" fontId="0" fillId="3" borderId="8" xfId="0" applyFont="1" applyFill="1" applyBorder="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Performance_Dashboard.xlsx]Pivot_Subject!PivotTable1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Pivot_Subject!$B$1</c:f>
              <c:strCache>
                <c:ptCount val="1"/>
                <c:pt idx="0">
                  <c:v>Total</c:v>
                </c:pt>
              </c:strCache>
            </c:strRef>
          </c:tx>
          <c:spPr>
            <a:solidFill>
              <a:schemeClr val="accent1"/>
            </a:solidFill>
            <a:ln>
              <a:noFill/>
            </a:ln>
            <a:effectLst/>
            <a:sp3d/>
          </c:spPr>
          <c:invertIfNegative val="0"/>
          <c:cat>
            <c:strRef>
              <c:f>Pivot_Subject!$A$2:$A$9</c:f>
              <c:strCache>
                <c:ptCount val="7"/>
                <c:pt idx="0">
                  <c:v>Computer</c:v>
                </c:pt>
                <c:pt idx="1">
                  <c:v>English</c:v>
                </c:pt>
                <c:pt idx="2">
                  <c:v>Geography</c:v>
                </c:pt>
                <c:pt idx="3">
                  <c:v>History</c:v>
                </c:pt>
                <c:pt idx="4">
                  <c:v>Math</c:v>
                </c:pt>
                <c:pt idx="5">
                  <c:v>Science</c:v>
                </c:pt>
                <c:pt idx="6">
                  <c:v>(blank)</c:v>
                </c:pt>
              </c:strCache>
            </c:strRef>
          </c:cat>
          <c:val>
            <c:numRef>
              <c:f>Pivot_Subject!$B$2:$B$9</c:f>
              <c:numCache>
                <c:formatCode>General</c:formatCode>
                <c:ptCount val="7"/>
                <c:pt idx="0">
                  <c:v>66.452513966480453</c:v>
                </c:pt>
                <c:pt idx="1">
                  <c:v>70.55367231638418</c:v>
                </c:pt>
                <c:pt idx="2">
                  <c:v>66.751879699248121</c:v>
                </c:pt>
                <c:pt idx="3">
                  <c:v>67.320652173913047</c:v>
                </c:pt>
                <c:pt idx="4">
                  <c:v>66.59615384615384</c:v>
                </c:pt>
                <c:pt idx="5">
                  <c:v>66.308139534883722</c:v>
                </c:pt>
              </c:numCache>
            </c:numRef>
          </c:val>
          <c:extLst>
            <c:ext xmlns:c16="http://schemas.microsoft.com/office/drawing/2014/chart" uri="{C3380CC4-5D6E-409C-BE32-E72D297353CC}">
              <c16:uniqueId val="{00000000-A772-4980-8CCB-31A735F597AC}"/>
            </c:ext>
          </c:extLst>
        </c:ser>
        <c:dLbls>
          <c:showLegendKey val="0"/>
          <c:showVal val="0"/>
          <c:showCatName val="0"/>
          <c:showSerName val="0"/>
          <c:showPercent val="0"/>
          <c:showBubbleSize val="0"/>
        </c:dLbls>
        <c:gapWidth val="150"/>
        <c:shape val="box"/>
        <c:axId val="1318442672"/>
        <c:axId val="1318447952"/>
        <c:axId val="0"/>
      </c:bar3DChart>
      <c:catAx>
        <c:axId val="131844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47952"/>
        <c:crosses val="autoZero"/>
        <c:auto val="1"/>
        <c:lblAlgn val="ctr"/>
        <c:lblOffset val="100"/>
        <c:noMultiLvlLbl val="0"/>
      </c:catAx>
      <c:valAx>
        <c:axId val="131844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4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Performance_Dashboard.xlsx]Pivot_Class!PivotTable2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Pivot_Class!$B$1</c:f>
              <c:strCache>
                <c:ptCount val="1"/>
                <c:pt idx="0">
                  <c:v>Total</c:v>
                </c:pt>
              </c:strCache>
            </c:strRef>
          </c:tx>
          <c:spPr>
            <a:solidFill>
              <a:schemeClr val="accent1"/>
            </a:solidFill>
            <a:ln>
              <a:noFill/>
            </a:ln>
            <a:effectLst/>
            <a:sp3d/>
          </c:spPr>
          <c:invertIfNegative val="0"/>
          <c:cat>
            <c:strRef>
              <c:f>Pivot_Class!$A$2:$A$10</c:f>
              <c:strCache>
                <c:ptCount val="8"/>
                <c:pt idx="0">
                  <c:v>6</c:v>
                </c:pt>
                <c:pt idx="1">
                  <c:v>7</c:v>
                </c:pt>
                <c:pt idx="2">
                  <c:v>8</c:v>
                </c:pt>
                <c:pt idx="3">
                  <c:v>9</c:v>
                </c:pt>
                <c:pt idx="4">
                  <c:v>10</c:v>
                </c:pt>
                <c:pt idx="5">
                  <c:v>11</c:v>
                </c:pt>
                <c:pt idx="6">
                  <c:v>12</c:v>
                </c:pt>
                <c:pt idx="7">
                  <c:v>(blank)</c:v>
                </c:pt>
              </c:strCache>
            </c:strRef>
          </c:cat>
          <c:val>
            <c:numRef>
              <c:f>Pivot_Class!$B$2:$B$10</c:f>
              <c:numCache>
                <c:formatCode>General</c:formatCode>
                <c:ptCount val="8"/>
                <c:pt idx="0">
                  <c:v>68.910958904109592</c:v>
                </c:pt>
                <c:pt idx="1">
                  <c:v>69.449612403100772</c:v>
                </c:pt>
                <c:pt idx="2">
                  <c:v>65.356687898089177</c:v>
                </c:pt>
                <c:pt idx="3">
                  <c:v>67.014084507042256</c:v>
                </c:pt>
                <c:pt idx="4">
                  <c:v>66.838926174496649</c:v>
                </c:pt>
                <c:pt idx="5">
                  <c:v>66.878787878787875</c:v>
                </c:pt>
                <c:pt idx="6">
                  <c:v>67.520547945205479</c:v>
                </c:pt>
              </c:numCache>
            </c:numRef>
          </c:val>
          <c:extLst>
            <c:ext xmlns:c16="http://schemas.microsoft.com/office/drawing/2014/chart" uri="{C3380CC4-5D6E-409C-BE32-E72D297353CC}">
              <c16:uniqueId val="{00000001-C6E0-4BF8-B921-5905922804EA}"/>
            </c:ext>
          </c:extLst>
        </c:ser>
        <c:dLbls>
          <c:showLegendKey val="0"/>
          <c:showVal val="0"/>
          <c:showCatName val="0"/>
          <c:showSerName val="0"/>
          <c:showPercent val="0"/>
          <c:showBubbleSize val="0"/>
        </c:dLbls>
        <c:gapWidth val="150"/>
        <c:shape val="box"/>
        <c:axId val="1318447472"/>
        <c:axId val="1318446512"/>
        <c:axId val="0"/>
      </c:bar3DChart>
      <c:catAx>
        <c:axId val="131844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46512"/>
        <c:crosses val="autoZero"/>
        <c:auto val="1"/>
        <c:lblAlgn val="ctr"/>
        <c:lblOffset val="100"/>
        <c:noMultiLvlLbl val="0"/>
      </c:catAx>
      <c:valAx>
        <c:axId val="131844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474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Performance_Dashboard.xlsx]Pivot_City!PivotTable3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Pivot_City!$B$1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8E1-4E6C-80B2-2F1EE92F6B74}"/>
              </c:ext>
            </c:extLst>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cat>
            <c:strRef>
              <c:f>Pivot_City!$A$2:$A$10</c:f>
              <c:strCache>
                <c:ptCount val="8"/>
                <c:pt idx="0">
                  <c:v>Angul</c:v>
                </c:pt>
                <c:pt idx="1">
                  <c:v>Balasore</c:v>
                </c:pt>
                <c:pt idx="2">
                  <c:v>Bhubaneswar</c:v>
                </c:pt>
                <c:pt idx="3">
                  <c:v>Cuttack</c:v>
                </c:pt>
                <c:pt idx="4">
                  <c:v>Puri</c:v>
                </c:pt>
                <c:pt idx="5">
                  <c:v>Rourkela</c:v>
                </c:pt>
                <c:pt idx="6">
                  <c:v>Sambalpur</c:v>
                </c:pt>
                <c:pt idx="7">
                  <c:v>(blank)</c:v>
                </c:pt>
              </c:strCache>
            </c:strRef>
          </c:cat>
          <c:val>
            <c:numRef>
              <c:f>Pivot_City!$B$2:$B$10</c:f>
              <c:numCache>
                <c:formatCode>General</c:formatCode>
                <c:ptCount val="8"/>
                <c:pt idx="0">
                  <c:v>139</c:v>
                </c:pt>
                <c:pt idx="1">
                  <c:v>135</c:v>
                </c:pt>
                <c:pt idx="2">
                  <c:v>159</c:v>
                </c:pt>
                <c:pt idx="3">
                  <c:v>149</c:v>
                </c:pt>
                <c:pt idx="4">
                  <c:v>148</c:v>
                </c:pt>
                <c:pt idx="5">
                  <c:v>126</c:v>
                </c:pt>
                <c:pt idx="6">
                  <c:v>145</c:v>
                </c:pt>
              </c:numCache>
            </c:numRef>
          </c:val>
          <c:extLst>
            <c:ext xmlns:c16="http://schemas.microsoft.com/office/drawing/2014/chart" uri="{C3380CC4-5D6E-409C-BE32-E72D297353CC}">
              <c16:uniqueId val="{00000011-02C1-420F-BBAA-8EE0A041A53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Performance_Dashboard.xlsx]Pivot_Gender!PivotTable4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Pivot_Gender!$B$1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Pivot_Gender!$A$2:$A$4</c:f>
              <c:strCache>
                <c:ptCount val="2"/>
                <c:pt idx="0">
                  <c:v>Female</c:v>
                </c:pt>
                <c:pt idx="1">
                  <c:v>Male</c:v>
                </c:pt>
              </c:strCache>
            </c:strRef>
          </c:cat>
          <c:val>
            <c:numRef>
              <c:f>Pivot_Gender!$B$2:$B$4</c:f>
              <c:numCache>
                <c:formatCode>General</c:formatCode>
                <c:ptCount val="2"/>
                <c:pt idx="0">
                  <c:v>66.914937759336098</c:v>
                </c:pt>
                <c:pt idx="1">
                  <c:v>67.801541425818883</c:v>
                </c:pt>
              </c:numCache>
            </c:numRef>
          </c:val>
          <c:extLst>
            <c:ext xmlns:c16="http://schemas.microsoft.com/office/drawing/2014/chart" uri="{C3380CC4-5D6E-409C-BE32-E72D297353CC}">
              <c16:uniqueId val="{00000000-DB26-4DB0-9E01-DF9BB0EB594A}"/>
            </c:ext>
          </c:extLst>
        </c:ser>
        <c:dLbls>
          <c:dLblPos val="outEnd"/>
          <c:showLegendKey val="0"/>
          <c:showVal val="1"/>
          <c:showCatName val="0"/>
          <c:showSerName val="0"/>
          <c:showPercent val="0"/>
          <c:showBubbleSize val="0"/>
        </c:dLbls>
        <c:gapWidth val="219"/>
        <c:overlap val="-27"/>
        <c:axId val="1318458032"/>
        <c:axId val="1318467632"/>
      </c:barChart>
      <c:catAx>
        <c:axId val="131845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67632"/>
        <c:crosses val="autoZero"/>
        <c:auto val="1"/>
        <c:lblAlgn val="ctr"/>
        <c:lblOffset val="100"/>
        <c:noMultiLvlLbl val="0"/>
      </c:catAx>
      <c:valAx>
        <c:axId val="131846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5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Performance_Dashboard.xlsx]Pivot_Subject!PivotTable1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Marks by Subject</a:t>
            </a:r>
            <a:endParaRPr lang="en-US"/>
          </a:p>
        </c:rich>
      </c:tx>
      <c:layout>
        <c:manualLayout>
          <c:xMode val="edge"/>
          <c:yMode val="edge"/>
          <c:x val="0.15422586897878246"/>
          <c:y val="0.139424941367657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Pivot_Subject!$B$1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Pivot_Subject!$A$2:$A$9</c:f>
              <c:strCache>
                <c:ptCount val="7"/>
                <c:pt idx="0">
                  <c:v>Computer</c:v>
                </c:pt>
                <c:pt idx="1">
                  <c:v>English</c:v>
                </c:pt>
                <c:pt idx="2">
                  <c:v>Geography</c:v>
                </c:pt>
                <c:pt idx="3">
                  <c:v>History</c:v>
                </c:pt>
                <c:pt idx="4">
                  <c:v>Math</c:v>
                </c:pt>
                <c:pt idx="5">
                  <c:v>Science</c:v>
                </c:pt>
                <c:pt idx="6">
                  <c:v>(blank)</c:v>
                </c:pt>
              </c:strCache>
            </c:strRef>
          </c:cat>
          <c:val>
            <c:numRef>
              <c:f>Pivot_Subject!$B$2:$B$9</c:f>
              <c:numCache>
                <c:formatCode>General</c:formatCode>
                <c:ptCount val="7"/>
                <c:pt idx="0">
                  <c:v>66.452513966480453</c:v>
                </c:pt>
                <c:pt idx="1">
                  <c:v>70.55367231638418</c:v>
                </c:pt>
                <c:pt idx="2">
                  <c:v>66.751879699248121</c:v>
                </c:pt>
                <c:pt idx="3">
                  <c:v>67.320652173913047</c:v>
                </c:pt>
                <c:pt idx="4">
                  <c:v>66.59615384615384</c:v>
                </c:pt>
                <c:pt idx="5">
                  <c:v>66.308139534883722</c:v>
                </c:pt>
              </c:numCache>
            </c:numRef>
          </c:val>
          <c:extLst>
            <c:ext xmlns:c16="http://schemas.microsoft.com/office/drawing/2014/chart" uri="{C3380CC4-5D6E-409C-BE32-E72D297353CC}">
              <c16:uniqueId val="{00000000-89D1-4B76-BFFD-1193B297FFF0}"/>
            </c:ext>
          </c:extLst>
        </c:ser>
        <c:dLbls>
          <c:showLegendKey val="0"/>
          <c:showVal val="0"/>
          <c:showCatName val="0"/>
          <c:showSerName val="0"/>
          <c:showPercent val="0"/>
          <c:showBubbleSize val="0"/>
        </c:dLbls>
        <c:gapWidth val="150"/>
        <c:shape val="box"/>
        <c:axId val="1318442672"/>
        <c:axId val="1318447952"/>
        <c:axId val="0"/>
      </c:bar3DChart>
      <c:catAx>
        <c:axId val="131844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47952"/>
        <c:crosses val="autoZero"/>
        <c:auto val="1"/>
        <c:lblAlgn val="ctr"/>
        <c:lblOffset val="100"/>
        <c:noMultiLvlLbl val="0"/>
      </c:catAx>
      <c:valAx>
        <c:axId val="131844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4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Performance_Dashboard.xlsx]Pivot_Class!PivotTable2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a:t>
            </a:r>
            <a:r>
              <a:rPr lang="en-IN" baseline="0"/>
              <a:t> Marks By Class</a:t>
            </a:r>
            <a:endParaRPr lang="en-IN"/>
          </a:p>
        </c:rich>
      </c:tx>
      <c:layout>
        <c:manualLayout>
          <c:xMode val="edge"/>
          <c:yMode val="edge"/>
          <c:x val="0.17104182119538841"/>
          <c:y val="0.1265744006706704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Pivot_Class!$B$1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Pivot_Class!$A$2:$A$10</c:f>
              <c:strCache>
                <c:ptCount val="8"/>
                <c:pt idx="0">
                  <c:v>6</c:v>
                </c:pt>
                <c:pt idx="1">
                  <c:v>7</c:v>
                </c:pt>
                <c:pt idx="2">
                  <c:v>8</c:v>
                </c:pt>
                <c:pt idx="3">
                  <c:v>9</c:v>
                </c:pt>
                <c:pt idx="4">
                  <c:v>10</c:v>
                </c:pt>
                <c:pt idx="5">
                  <c:v>11</c:v>
                </c:pt>
                <c:pt idx="6">
                  <c:v>12</c:v>
                </c:pt>
                <c:pt idx="7">
                  <c:v>(blank)</c:v>
                </c:pt>
              </c:strCache>
            </c:strRef>
          </c:cat>
          <c:val>
            <c:numRef>
              <c:f>Pivot_Class!$B$2:$B$10</c:f>
              <c:numCache>
                <c:formatCode>General</c:formatCode>
                <c:ptCount val="8"/>
                <c:pt idx="0">
                  <c:v>68.910958904109592</c:v>
                </c:pt>
                <c:pt idx="1">
                  <c:v>69.449612403100772</c:v>
                </c:pt>
                <c:pt idx="2">
                  <c:v>65.356687898089177</c:v>
                </c:pt>
                <c:pt idx="3">
                  <c:v>67.014084507042256</c:v>
                </c:pt>
                <c:pt idx="4">
                  <c:v>66.838926174496649</c:v>
                </c:pt>
                <c:pt idx="5">
                  <c:v>66.878787878787875</c:v>
                </c:pt>
                <c:pt idx="6">
                  <c:v>67.520547945205479</c:v>
                </c:pt>
              </c:numCache>
            </c:numRef>
          </c:val>
          <c:extLst>
            <c:ext xmlns:c16="http://schemas.microsoft.com/office/drawing/2014/chart" uri="{C3380CC4-5D6E-409C-BE32-E72D297353CC}">
              <c16:uniqueId val="{00000000-CD03-4DC8-8BAE-B1383B29D937}"/>
            </c:ext>
          </c:extLst>
        </c:ser>
        <c:dLbls>
          <c:showLegendKey val="0"/>
          <c:showVal val="0"/>
          <c:showCatName val="0"/>
          <c:showSerName val="0"/>
          <c:showPercent val="0"/>
          <c:showBubbleSize val="0"/>
        </c:dLbls>
        <c:gapWidth val="65"/>
        <c:shape val="box"/>
        <c:axId val="1318447472"/>
        <c:axId val="1318446512"/>
        <c:axId val="0"/>
      </c:bar3DChart>
      <c:catAx>
        <c:axId val="13184474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8446512"/>
        <c:crosses val="autoZero"/>
        <c:auto val="1"/>
        <c:lblAlgn val="ctr"/>
        <c:lblOffset val="100"/>
        <c:noMultiLvlLbl val="0"/>
      </c:catAx>
      <c:valAx>
        <c:axId val="13184465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184474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Performance_Dashboard.xlsx]Pivot_City!PivotTable3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Marks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Pivot_City!$B$1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C6F-48AB-BE20-16CC5D6FED78}"/>
              </c:ext>
            </c:extLst>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cat>
            <c:strRef>
              <c:f>Pivot_City!$A$2:$A$10</c:f>
              <c:strCache>
                <c:ptCount val="8"/>
                <c:pt idx="0">
                  <c:v>Angul</c:v>
                </c:pt>
                <c:pt idx="1">
                  <c:v>Balasore</c:v>
                </c:pt>
                <c:pt idx="2">
                  <c:v>Bhubaneswar</c:v>
                </c:pt>
                <c:pt idx="3">
                  <c:v>Cuttack</c:v>
                </c:pt>
                <c:pt idx="4">
                  <c:v>Puri</c:v>
                </c:pt>
                <c:pt idx="5">
                  <c:v>Rourkela</c:v>
                </c:pt>
                <c:pt idx="6">
                  <c:v>Sambalpur</c:v>
                </c:pt>
                <c:pt idx="7">
                  <c:v>(blank)</c:v>
                </c:pt>
              </c:strCache>
            </c:strRef>
          </c:cat>
          <c:val>
            <c:numRef>
              <c:f>Pivot_City!$B$2:$B$10</c:f>
              <c:numCache>
                <c:formatCode>General</c:formatCode>
                <c:ptCount val="8"/>
                <c:pt idx="0">
                  <c:v>139</c:v>
                </c:pt>
                <c:pt idx="1">
                  <c:v>135</c:v>
                </c:pt>
                <c:pt idx="2">
                  <c:v>159</c:v>
                </c:pt>
                <c:pt idx="3">
                  <c:v>149</c:v>
                </c:pt>
                <c:pt idx="4">
                  <c:v>148</c:v>
                </c:pt>
                <c:pt idx="5">
                  <c:v>126</c:v>
                </c:pt>
                <c:pt idx="6">
                  <c:v>145</c:v>
                </c:pt>
              </c:numCache>
            </c:numRef>
          </c:val>
          <c:extLst>
            <c:ext xmlns:c16="http://schemas.microsoft.com/office/drawing/2014/chart" uri="{C3380CC4-5D6E-409C-BE32-E72D297353CC}">
              <c16:uniqueId val="{00000013-6E5E-4F29-993D-2E725233080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 Performance_Dashboard.xlsx]Pivot_Gender!PivotTable4</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Gender</a:t>
            </a:r>
            <a:r>
              <a:rPr lang="en-US" baseline="0"/>
              <a:t> Wise Average Marks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Pivot_Gender!$B$1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Pivot_Gender!$A$2:$A$4</c:f>
              <c:strCache>
                <c:ptCount val="2"/>
                <c:pt idx="0">
                  <c:v>Female</c:v>
                </c:pt>
                <c:pt idx="1">
                  <c:v>Male</c:v>
                </c:pt>
              </c:strCache>
            </c:strRef>
          </c:cat>
          <c:val>
            <c:numRef>
              <c:f>Pivot_Gender!$B$2:$B$4</c:f>
              <c:numCache>
                <c:formatCode>General</c:formatCode>
                <c:ptCount val="2"/>
                <c:pt idx="0">
                  <c:v>66.914937759336098</c:v>
                </c:pt>
                <c:pt idx="1">
                  <c:v>67.801541425818883</c:v>
                </c:pt>
              </c:numCache>
            </c:numRef>
          </c:val>
          <c:extLst>
            <c:ext xmlns:c16="http://schemas.microsoft.com/office/drawing/2014/chart" uri="{C3380CC4-5D6E-409C-BE32-E72D297353CC}">
              <c16:uniqueId val="{00000000-CF39-4E9D-B26A-32519936812B}"/>
            </c:ext>
          </c:extLst>
        </c:ser>
        <c:dLbls>
          <c:dLblPos val="outEnd"/>
          <c:showLegendKey val="0"/>
          <c:showVal val="1"/>
          <c:showCatName val="0"/>
          <c:showSerName val="0"/>
          <c:showPercent val="0"/>
          <c:showBubbleSize val="0"/>
        </c:dLbls>
        <c:gapWidth val="100"/>
        <c:overlap val="-24"/>
        <c:axId val="1318458032"/>
        <c:axId val="1318467632"/>
      </c:barChart>
      <c:catAx>
        <c:axId val="131845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18467632"/>
        <c:crosses val="autoZero"/>
        <c:auto val="1"/>
        <c:lblAlgn val="ctr"/>
        <c:lblOffset val="100"/>
        <c:noMultiLvlLbl val="0"/>
      </c:catAx>
      <c:valAx>
        <c:axId val="131846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1845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0</xdr:rowOff>
    </xdr:from>
    <xdr:to>
      <xdr:col>9</xdr:col>
      <xdr:colOff>327660</xdr:colOff>
      <xdr:row>15</xdr:row>
      <xdr:rowOff>45720</xdr:rowOff>
    </xdr:to>
    <xdr:graphicFrame macro="">
      <xdr:nvGraphicFramePr>
        <xdr:cNvPr id="2" name="Chart 1">
          <a:extLst>
            <a:ext uri="{FF2B5EF4-FFF2-40B4-BE49-F238E27FC236}">
              <a16:creationId xmlns:a16="http://schemas.microsoft.com/office/drawing/2014/main" id="{7A5159A6-D968-C1C1-362F-D52099A3C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22860</xdr:colOff>
      <xdr:row>0</xdr:row>
      <xdr:rowOff>0</xdr:rowOff>
    </xdr:from>
    <xdr:to>
      <xdr:col>6</xdr:col>
      <xdr:colOff>327660</xdr:colOff>
      <xdr:row>15</xdr:row>
      <xdr:rowOff>0</xdr:rowOff>
    </xdr:to>
    <xdr:graphicFrame macro="">
      <xdr:nvGraphicFramePr>
        <xdr:cNvPr id="2" name="Chart 1">
          <a:extLst>
            <a:ext uri="{FF2B5EF4-FFF2-40B4-BE49-F238E27FC236}">
              <a16:creationId xmlns:a16="http://schemas.microsoft.com/office/drawing/2014/main" id="{8E0C4E5C-F4E1-A42E-26DC-7E18B1D0B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xdr:colOff>
      <xdr:row>0</xdr:row>
      <xdr:rowOff>0</xdr:rowOff>
    </xdr:from>
    <xdr:to>
      <xdr:col>9</xdr:col>
      <xdr:colOff>320040</xdr:colOff>
      <xdr:row>15</xdr:row>
      <xdr:rowOff>0</xdr:rowOff>
    </xdr:to>
    <xdr:graphicFrame macro="">
      <xdr:nvGraphicFramePr>
        <xdr:cNvPr id="2" name="Chart 1">
          <a:extLst>
            <a:ext uri="{FF2B5EF4-FFF2-40B4-BE49-F238E27FC236}">
              <a16:creationId xmlns:a16="http://schemas.microsoft.com/office/drawing/2014/main" id="{9F445ECB-A9A8-6731-0719-960F85D22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xdr:colOff>
      <xdr:row>0</xdr:row>
      <xdr:rowOff>0</xdr:rowOff>
    </xdr:from>
    <xdr:to>
      <xdr:col>9</xdr:col>
      <xdr:colOff>312420</xdr:colOff>
      <xdr:row>15</xdr:row>
      <xdr:rowOff>0</xdr:rowOff>
    </xdr:to>
    <xdr:graphicFrame macro="">
      <xdr:nvGraphicFramePr>
        <xdr:cNvPr id="2" name="Chart 1">
          <a:extLst>
            <a:ext uri="{FF2B5EF4-FFF2-40B4-BE49-F238E27FC236}">
              <a16:creationId xmlns:a16="http://schemas.microsoft.com/office/drawing/2014/main" id="{CA817DFC-0ADB-21F2-2DDC-7828F3FB2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5186</xdr:colOff>
      <xdr:row>4</xdr:row>
      <xdr:rowOff>19877</xdr:rowOff>
    </xdr:from>
    <xdr:to>
      <xdr:col>3</xdr:col>
      <xdr:colOff>106018</xdr:colOff>
      <xdr:row>16</xdr:row>
      <xdr:rowOff>25917</xdr:rowOff>
    </xdr:to>
    <xdr:graphicFrame macro="">
      <xdr:nvGraphicFramePr>
        <xdr:cNvPr id="3" name="Chart 2">
          <a:extLst>
            <a:ext uri="{FF2B5EF4-FFF2-40B4-BE49-F238E27FC236}">
              <a16:creationId xmlns:a16="http://schemas.microsoft.com/office/drawing/2014/main" id="{46CD62B0-87D8-4C65-9C69-714ACDF5A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125456</xdr:colOff>
      <xdr:row>4</xdr:row>
      <xdr:rowOff>19252</xdr:rowOff>
    </xdr:from>
    <xdr:to>
      <xdr:col>7</xdr:col>
      <xdr:colOff>174504</xdr:colOff>
      <xdr:row>16</xdr:row>
      <xdr:rowOff>52351</xdr:rowOff>
    </xdr:to>
    <xdr:graphicFrame macro="">
      <xdr:nvGraphicFramePr>
        <xdr:cNvPr id="4" name="Chart 3">
          <a:extLst>
            <a:ext uri="{FF2B5EF4-FFF2-40B4-BE49-F238E27FC236}">
              <a16:creationId xmlns:a16="http://schemas.microsoft.com/office/drawing/2014/main" id="{7079B445-DE2E-42B1-8E3E-0AFC207C0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66261</xdr:rowOff>
    </xdr:from>
    <xdr:to>
      <xdr:col>3</xdr:col>
      <xdr:colOff>112643</xdr:colOff>
      <xdr:row>31</xdr:row>
      <xdr:rowOff>62947</xdr:rowOff>
    </xdr:to>
    <xdr:graphicFrame macro="">
      <xdr:nvGraphicFramePr>
        <xdr:cNvPr id="5" name="Chart 4">
          <a:extLst>
            <a:ext uri="{FF2B5EF4-FFF2-40B4-BE49-F238E27FC236}">
              <a16:creationId xmlns:a16="http://schemas.microsoft.com/office/drawing/2014/main" id="{27A2E28D-DC1E-4162-91FE-568A03726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146539</xdr:colOff>
      <xdr:row>16</xdr:row>
      <xdr:rowOff>78153</xdr:rowOff>
    </xdr:from>
    <xdr:to>
      <xdr:col>7</xdr:col>
      <xdr:colOff>185615</xdr:colOff>
      <xdr:row>31</xdr:row>
      <xdr:rowOff>48845</xdr:rowOff>
    </xdr:to>
    <xdr:graphicFrame macro="">
      <xdr:nvGraphicFramePr>
        <xdr:cNvPr id="6" name="Chart 5">
          <a:extLst>
            <a:ext uri="{FF2B5EF4-FFF2-40B4-BE49-F238E27FC236}">
              <a16:creationId xmlns:a16="http://schemas.microsoft.com/office/drawing/2014/main" id="{F9948614-B94B-4B3D-9957-A7A8D5068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197771</xdr:colOff>
      <xdr:row>4</xdr:row>
      <xdr:rowOff>23268</xdr:rowOff>
    </xdr:from>
    <xdr:to>
      <xdr:col>9</xdr:col>
      <xdr:colOff>558000</xdr:colOff>
      <xdr:row>9</xdr:row>
      <xdr:rowOff>1</xdr:rowOff>
    </xdr:to>
    <mc:AlternateContent xmlns:mc="http://schemas.openxmlformats.org/markup-compatibility/2006">
      <mc:Choice xmlns:a14="http://schemas.microsoft.com/office/drawing/2010/main" Requires="a14">
        <xdr:graphicFrame macro="">
          <xdr:nvGraphicFramePr>
            <xdr:cNvPr id="12" name="Gender 2">
              <a:extLst>
                <a:ext uri="{FF2B5EF4-FFF2-40B4-BE49-F238E27FC236}">
                  <a16:creationId xmlns:a16="http://schemas.microsoft.com/office/drawing/2014/main" id="{3DB8BEF0-CF46-4F77-80A1-CD09035A071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5486947" y="973527"/>
              <a:ext cx="1579429" cy="873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195908</xdr:colOff>
      <xdr:row>9</xdr:row>
      <xdr:rowOff>11815</xdr:rowOff>
    </xdr:from>
    <xdr:to>
      <xdr:col>9</xdr:col>
      <xdr:colOff>562438</xdr:colOff>
      <xdr:row>15</xdr:row>
      <xdr:rowOff>34439</xdr:rowOff>
    </xdr:to>
    <mc:AlternateContent xmlns:mc="http://schemas.openxmlformats.org/markup-compatibility/2006">
      <mc:Choice xmlns:a14="http://schemas.microsoft.com/office/drawing/2010/main" Requires="a14">
        <xdr:graphicFrame macro="">
          <xdr:nvGraphicFramePr>
            <xdr:cNvPr id="13" name="Class 1">
              <a:extLst>
                <a:ext uri="{FF2B5EF4-FFF2-40B4-BE49-F238E27FC236}">
                  <a16:creationId xmlns:a16="http://schemas.microsoft.com/office/drawing/2014/main" id="{95558076-5FFB-41D4-AC76-645B9422F70C}"/>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dr:sp macro="" textlink="">
          <xdr:nvSpPr>
            <xdr:cNvPr id="0" name=""/>
            <xdr:cNvSpPr>
              <a:spLocks noTextEdit="1"/>
            </xdr:cNvSpPr>
          </xdr:nvSpPr>
          <xdr:spPr>
            <a:xfrm>
              <a:off x="5485084" y="1858544"/>
              <a:ext cx="1585730" cy="1098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198000</xdr:colOff>
      <xdr:row>15</xdr:row>
      <xdr:rowOff>41354</xdr:rowOff>
    </xdr:from>
    <xdr:to>
      <xdr:col>9</xdr:col>
      <xdr:colOff>552000</xdr:colOff>
      <xdr:row>24</xdr:row>
      <xdr:rowOff>161267</xdr:rowOff>
    </xdr:to>
    <mc:AlternateContent xmlns:mc="http://schemas.openxmlformats.org/markup-compatibility/2006">
      <mc:Choice xmlns:a14="http://schemas.microsoft.com/office/drawing/2010/main" Requires="a14">
        <xdr:graphicFrame macro="">
          <xdr:nvGraphicFramePr>
            <xdr:cNvPr id="14" name="Subject 1">
              <a:extLst>
                <a:ext uri="{FF2B5EF4-FFF2-40B4-BE49-F238E27FC236}">
                  <a16:creationId xmlns:a16="http://schemas.microsoft.com/office/drawing/2014/main" id="{B406713E-AD1A-42AD-A4F4-68780672420B}"/>
                </a:ext>
              </a:extLst>
            </xdr:cNvPr>
            <xdr:cNvGraphicFramePr/>
          </xdr:nvGraphicFramePr>
          <xdr:xfrm>
            <a:off x="0" y="0"/>
            <a:ext cx="0" cy="0"/>
          </xdr:xfrm>
          <a:graphic>
            <a:graphicData uri="http://schemas.microsoft.com/office/drawing/2010/slicer">
              <sle:slicer xmlns:sle="http://schemas.microsoft.com/office/drawing/2010/slicer" name="Subject 1"/>
            </a:graphicData>
          </a:graphic>
        </xdr:graphicFrame>
      </mc:Choice>
      <mc:Fallback>
        <xdr:sp macro="" textlink="">
          <xdr:nvSpPr>
            <xdr:cNvPr id="0" name=""/>
            <xdr:cNvSpPr>
              <a:spLocks noTextEdit="1"/>
            </xdr:cNvSpPr>
          </xdr:nvSpPr>
          <xdr:spPr>
            <a:xfrm>
              <a:off x="5487176" y="2963848"/>
              <a:ext cx="1573200" cy="173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200762</xdr:colOff>
      <xdr:row>24</xdr:row>
      <xdr:rowOff>145425</xdr:rowOff>
    </xdr:from>
    <xdr:to>
      <xdr:col>9</xdr:col>
      <xdr:colOff>558000</xdr:colOff>
      <xdr:row>31</xdr:row>
      <xdr:rowOff>36000</xdr:rowOff>
    </xdr:to>
    <mc:AlternateContent xmlns:mc="http://schemas.openxmlformats.org/markup-compatibility/2006">
      <mc:Choice xmlns:a14="http://schemas.microsoft.com/office/drawing/2010/main" Requires="a14">
        <xdr:graphicFrame macro="">
          <xdr:nvGraphicFramePr>
            <xdr:cNvPr id="15" name="City 1">
              <a:extLst>
                <a:ext uri="{FF2B5EF4-FFF2-40B4-BE49-F238E27FC236}">
                  <a16:creationId xmlns:a16="http://schemas.microsoft.com/office/drawing/2014/main" id="{F98807D1-30E6-429C-9E82-D5CE35E789F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5489938" y="4681566"/>
              <a:ext cx="1576438" cy="1154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rat mahapatra" refreshedDate="46237.750154513888" createdVersion="8" refreshedVersion="8" minRefreshableVersion="3" recordCount="1002" xr:uid="{9136F8EA-CAE4-4121-B97C-8E8F7A06AF70}">
  <cacheSource type="worksheet">
    <worksheetSource ref="A1:K1048576" sheet="Student_Data"/>
  </cacheSource>
  <cacheFields count="11">
    <cacheField name="Student ID" numFmtId="0">
      <sharedItems containsBlank="1" count="1002">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 v="S0993"/>
        <s v="S0994"/>
        <s v="S0995"/>
        <s v="S0996"/>
        <s v="S0997"/>
        <s v="S0998"/>
        <s v="S0999"/>
        <s v="S1000"/>
        <s v="S1001"/>
        <m/>
      </sharedItems>
    </cacheField>
    <cacheField name="Student Name" numFmtId="0">
      <sharedItems containsBlank="1" count="97">
        <s v="Ananya Patra"/>
        <s v="Rohit Kumar"/>
        <s v="Kavya Kumar"/>
        <s v="Rahul Mohanty"/>
        <s v="Rahul Das"/>
        <s v="Amit Nayak"/>
        <s v="Sohan Kumar"/>
        <s v="Priya Mohanty"/>
        <s v="Rohit Sahoo"/>
        <s v="Neha Patra"/>
        <s v="Kavya Das"/>
        <s v="Kiran Sahoo"/>
        <s v="Sohan Mohanty"/>
        <s v="Riya Patra"/>
        <s v="Sneha Das"/>
        <s v="Riya Kumar"/>
        <s v="Priya Nayak"/>
        <s v="Amit Kumar"/>
        <s v="Riya Nayak"/>
        <s v="Riya Sahoo"/>
        <s v="Kavya Mohanty"/>
        <s v="Sanjay Mohanty"/>
        <s v="Vivaan Mohanty"/>
        <s v="Aditya Kumar"/>
        <s v="Ananya Nayak"/>
        <s v="Rahul Sahoo"/>
        <s v="Sneha Patra"/>
        <s v="Amit Patra"/>
        <s v="Sohan Patra"/>
        <s v="Sohan Das"/>
        <s v="Rohit Nayak"/>
        <s v="Aditya Das"/>
        <s v="Aarav Nayak"/>
        <s v="Aarav Patra"/>
        <s v="Priya Sahoo"/>
        <s v="Ananya Mohanty"/>
        <s v="Pooja Das"/>
        <s v="Rahul Kumar"/>
        <s v="Priya Das"/>
        <s v="Vivaan Sahoo"/>
        <s v="Rahul Nayak"/>
        <s v="Aarav Mohanty"/>
        <s v="Vivaan Kumar"/>
        <s v="Neha Mohanty"/>
        <s v="Pooja Patra"/>
        <s v="Priya Kumar"/>
        <s v="Aarav Kumar"/>
        <s v="Sneha Nayak"/>
        <s v="Sanjay Sahoo"/>
        <s v="Sanjay Das"/>
        <s v="Sanjay Nayak"/>
        <s v="Ananya Kumar"/>
        <s v="Pooja Sahoo"/>
        <s v="Kiran Mohanty"/>
        <s v="Aditya Mohanty"/>
        <s v="Vivaan Patra"/>
        <s v="Amit Das"/>
        <s v="Kiran Patra"/>
        <s v="Kavya Sahoo"/>
        <s v="Neha Nayak"/>
        <s v="Rohit Mohanty"/>
        <s v="Amit Sahoo"/>
        <s v="Kavya Patra"/>
        <s v="Riya Das"/>
        <s v="Pooja Kumar"/>
        <s v="Aditya Patra"/>
        <s v="Aarav Das"/>
        <s v="Ananya Das"/>
        <s v="Amit Mohanty"/>
        <s v="Pooja Mohanty"/>
        <s v="Vivaan Nayak"/>
        <s v="Neha Kumar"/>
        <s v="Vivaan Das"/>
        <s v="Kavya Nayak"/>
        <s v="Aarav Sahoo"/>
        <s v="Kiran Kumar"/>
        <s v="Aditya Nayak"/>
        <s v="Sohan Sahoo"/>
        <s v="Sneha Mohanty"/>
        <s v="Riya Mohanty"/>
        <s v="Rahul Patra"/>
        <s v="Sneha Kumar"/>
        <s v="Kiran Das"/>
        <s v="Ananya Sahoo"/>
        <s v="Neha Das"/>
        <s v="Priya Patra"/>
        <s v="Kiran Nayak"/>
        <s v="Sneha Sahoo"/>
        <s v="Neha Sahoo"/>
        <s v="Aditya Sahoo"/>
        <s v="Rohit Patra"/>
        <s v="Sanjay Patra"/>
        <s v="Pooja Nayak"/>
        <s v="Sohan Nayak"/>
        <s v="Rohit Das"/>
        <s v="Sanjay Kumar"/>
        <m/>
      </sharedItems>
    </cacheField>
    <cacheField name="Gender" numFmtId="0">
      <sharedItems containsBlank="1" count="3">
        <s v="Female"/>
        <s v="Male"/>
        <m/>
      </sharedItems>
    </cacheField>
    <cacheField name="Class" numFmtId="0">
      <sharedItems containsString="0" containsBlank="1" containsNumber="1" containsInteger="1" minValue="6" maxValue="12" count="8">
        <n v="8"/>
        <n v="12"/>
        <n v="6"/>
        <n v="7"/>
        <n v="10"/>
        <n v="9"/>
        <n v="11"/>
        <m/>
      </sharedItems>
    </cacheField>
    <cacheField name="Section" numFmtId="0">
      <sharedItems containsBlank="1"/>
    </cacheField>
    <cacheField name="Subject" numFmtId="0">
      <sharedItems containsBlank="1" count="7">
        <s v="Math"/>
        <s v="English"/>
        <s v="History"/>
        <s v="Computer"/>
        <s v="Geography"/>
        <s v="Science"/>
        <m/>
      </sharedItems>
    </cacheField>
    <cacheField name="Marks" numFmtId="0">
      <sharedItems containsString="0" containsBlank="1" containsNumber="1" containsInteger="1" minValue="23" maxValue="100" count="70">
        <n v="36"/>
        <n v="90"/>
        <n v="66"/>
        <n v="71"/>
        <n v="51"/>
        <n v="37"/>
        <n v="78"/>
        <n v="45"/>
        <n v="86"/>
        <n v="91"/>
        <n v="95"/>
        <n v="55"/>
        <n v="96"/>
        <n v="38"/>
        <n v="65"/>
        <n v="52"/>
        <n v="69"/>
        <n v="85"/>
        <n v="80"/>
        <n v="54"/>
        <n v="76"/>
        <n v="98"/>
        <n v="99"/>
        <n v="82"/>
        <n v="40"/>
        <n v="59"/>
        <n v="42"/>
        <n v="73"/>
        <n v="72"/>
        <n v="77"/>
        <n v="50"/>
        <n v="88"/>
        <n v="93"/>
        <n v="75"/>
        <n v="58"/>
        <n v="79"/>
        <n v="60"/>
        <n v="49"/>
        <n v="94"/>
        <n v="81"/>
        <n v="46"/>
        <n v="39"/>
        <n v="68"/>
        <n v="89"/>
        <n v="53"/>
        <n v="83"/>
        <n v="100"/>
        <n v="87"/>
        <n v="62"/>
        <n v="70"/>
        <n v="74"/>
        <n v="92"/>
        <n v="41"/>
        <n v="63"/>
        <n v="67"/>
        <n v="47"/>
        <n v="57"/>
        <n v="97"/>
        <n v="61"/>
        <n v="48"/>
        <n v="35"/>
        <n v="44"/>
        <n v="56"/>
        <n v="84"/>
        <n v="64"/>
        <n v="43"/>
        <n v="30"/>
        <n v="23"/>
        <n v="33"/>
        <m/>
      </sharedItems>
    </cacheField>
    <cacheField name="Attendance %" numFmtId="0">
      <sharedItems containsString="0" containsBlank="1" containsNumber="1" containsInteger="1" minValue="60" maxValue="100"/>
    </cacheField>
    <cacheField name="City" numFmtId="0">
      <sharedItems containsBlank="1" count="8">
        <s v="Rourkela"/>
        <s v="Bhubaneswar"/>
        <s v="Balasore"/>
        <s v="Cuttack"/>
        <s v="Angul"/>
        <s v="Puri"/>
        <s v="Sambalpur"/>
        <m/>
      </sharedItems>
    </cacheField>
    <cacheField name="Grade" numFmtId="0">
      <sharedItems containsBlank="1"/>
    </cacheField>
    <cacheField name="Result" numFmtId="0">
      <sharedItems containsBlank="1"/>
    </cacheField>
  </cacheFields>
  <extLst>
    <ext xmlns:x14="http://schemas.microsoft.com/office/spreadsheetml/2009/9/main" uri="{725AE2AE-9491-48be-B2B4-4EB974FC3084}">
      <x14:pivotCacheDefinition pivotCacheId="4167994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rat mahapatra" refreshedDate="46237.756982870371" createdVersion="8" refreshedVersion="8" minRefreshableVersion="3" recordCount="1001" xr:uid="{42EE8500-8AC8-4CFD-BD9E-84838AE4D6EC}">
  <cacheSource type="worksheet">
    <worksheetSource name="Student_Data"/>
  </cacheSource>
  <cacheFields count="11">
    <cacheField name="Student ID" numFmtId="0">
      <sharedItems/>
    </cacheField>
    <cacheField name="Student Name" numFmtId="0">
      <sharedItems/>
    </cacheField>
    <cacheField name="Gender" numFmtId="0">
      <sharedItems count="2">
        <s v="Female"/>
        <s v="Male"/>
      </sharedItems>
    </cacheField>
    <cacheField name="Class" numFmtId="0">
      <sharedItems containsSemiMixedTypes="0" containsString="0" containsNumber="1" containsInteger="1" minValue="6" maxValue="12"/>
    </cacheField>
    <cacheField name="Section" numFmtId="0">
      <sharedItems/>
    </cacheField>
    <cacheField name="Subject" numFmtId="0">
      <sharedItems/>
    </cacheField>
    <cacheField name="Marks" numFmtId="0">
      <sharedItems containsSemiMixedTypes="0" containsString="0" containsNumber="1" containsInteger="1" minValue="23" maxValue="100"/>
    </cacheField>
    <cacheField name="Attendance %" numFmtId="0">
      <sharedItems containsSemiMixedTypes="0" containsString="0" containsNumber="1" containsInteger="1" minValue="60" maxValue="100"/>
    </cacheField>
    <cacheField name="City" numFmtId="0">
      <sharedItems/>
    </cacheField>
    <cacheField name="Grade" numFmtId="0">
      <sharedItems/>
    </cacheField>
    <cacheField name="Resul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x v="0"/>
    <x v="0"/>
    <x v="0"/>
    <x v="0"/>
    <s v="B"/>
    <x v="0"/>
    <x v="0"/>
    <n v="75"/>
    <x v="0"/>
    <s v="F"/>
    <s v="Pass"/>
  </r>
  <r>
    <x v="1"/>
    <x v="1"/>
    <x v="0"/>
    <x v="1"/>
    <s v="C"/>
    <x v="1"/>
    <x v="1"/>
    <n v="97"/>
    <x v="1"/>
    <s v="A+"/>
    <s v="Pass"/>
  </r>
  <r>
    <x v="2"/>
    <x v="2"/>
    <x v="0"/>
    <x v="2"/>
    <s v="B"/>
    <x v="2"/>
    <x v="2"/>
    <n v="96"/>
    <x v="1"/>
    <s v="C"/>
    <s v="Pass"/>
  </r>
  <r>
    <x v="3"/>
    <x v="3"/>
    <x v="1"/>
    <x v="1"/>
    <s v="C"/>
    <x v="3"/>
    <x v="3"/>
    <n v="90"/>
    <x v="1"/>
    <s v="B"/>
    <s v="Pass"/>
  </r>
  <r>
    <x v="4"/>
    <x v="4"/>
    <x v="0"/>
    <x v="3"/>
    <s v="C"/>
    <x v="1"/>
    <x v="4"/>
    <n v="100"/>
    <x v="1"/>
    <s v="F"/>
    <s v="Pass"/>
  </r>
  <r>
    <x v="5"/>
    <x v="5"/>
    <x v="1"/>
    <x v="1"/>
    <s v="B"/>
    <x v="0"/>
    <x v="5"/>
    <n v="78"/>
    <x v="2"/>
    <s v="F"/>
    <s v="Pass"/>
  </r>
  <r>
    <x v="6"/>
    <x v="0"/>
    <x v="0"/>
    <x v="2"/>
    <s v="A"/>
    <x v="4"/>
    <x v="6"/>
    <n v="95"/>
    <x v="3"/>
    <s v="B"/>
    <s v="Pass"/>
  </r>
  <r>
    <x v="7"/>
    <x v="6"/>
    <x v="0"/>
    <x v="4"/>
    <s v="C"/>
    <x v="1"/>
    <x v="7"/>
    <n v="61"/>
    <x v="3"/>
    <s v="F"/>
    <s v="Pass"/>
  </r>
  <r>
    <x v="8"/>
    <x v="7"/>
    <x v="1"/>
    <x v="5"/>
    <s v="B"/>
    <x v="1"/>
    <x v="8"/>
    <n v="90"/>
    <x v="4"/>
    <s v="A"/>
    <s v="Pass"/>
  </r>
  <r>
    <x v="9"/>
    <x v="8"/>
    <x v="0"/>
    <x v="1"/>
    <s v="A"/>
    <x v="5"/>
    <x v="9"/>
    <n v="95"/>
    <x v="2"/>
    <s v="A+"/>
    <s v="Pass"/>
  </r>
  <r>
    <x v="10"/>
    <x v="9"/>
    <x v="0"/>
    <x v="4"/>
    <s v="C"/>
    <x v="2"/>
    <x v="10"/>
    <n v="97"/>
    <x v="5"/>
    <s v="A+"/>
    <s v="Pass"/>
  </r>
  <r>
    <x v="11"/>
    <x v="10"/>
    <x v="1"/>
    <x v="0"/>
    <s v="B"/>
    <x v="5"/>
    <x v="11"/>
    <n v="81"/>
    <x v="6"/>
    <s v="F"/>
    <s v="Pass"/>
  </r>
  <r>
    <x v="12"/>
    <x v="11"/>
    <x v="1"/>
    <x v="4"/>
    <s v="C"/>
    <x v="1"/>
    <x v="12"/>
    <n v="95"/>
    <x v="1"/>
    <s v="A+"/>
    <s v="Pass"/>
  </r>
  <r>
    <x v="13"/>
    <x v="12"/>
    <x v="0"/>
    <x v="6"/>
    <s v="A"/>
    <x v="2"/>
    <x v="8"/>
    <n v="65"/>
    <x v="2"/>
    <s v="A"/>
    <s v="Pass"/>
  </r>
  <r>
    <x v="14"/>
    <x v="13"/>
    <x v="0"/>
    <x v="5"/>
    <s v="C"/>
    <x v="3"/>
    <x v="13"/>
    <n v="79"/>
    <x v="0"/>
    <s v="F"/>
    <s v="Pass"/>
  </r>
  <r>
    <x v="15"/>
    <x v="14"/>
    <x v="0"/>
    <x v="4"/>
    <s v="B"/>
    <x v="5"/>
    <x v="14"/>
    <n v="91"/>
    <x v="3"/>
    <s v="C"/>
    <s v="Pass"/>
  </r>
  <r>
    <x v="16"/>
    <x v="15"/>
    <x v="0"/>
    <x v="4"/>
    <s v="A"/>
    <x v="0"/>
    <x v="14"/>
    <n v="82"/>
    <x v="4"/>
    <s v="C"/>
    <s v="Pass"/>
  </r>
  <r>
    <x v="17"/>
    <x v="16"/>
    <x v="1"/>
    <x v="0"/>
    <s v="A"/>
    <x v="4"/>
    <x v="15"/>
    <n v="65"/>
    <x v="3"/>
    <s v="F"/>
    <s v="Pass"/>
  </r>
  <r>
    <x v="18"/>
    <x v="17"/>
    <x v="1"/>
    <x v="6"/>
    <s v="A"/>
    <x v="5"/>
    <x v="16"/>
    <n v="92"/>
    <x v="5"/>
    <s v="C"/>
    <s v="Pass"/>
  </r>
  <r>
    <x v="19"/>
    <x v="2"/>
    <x v="0"/>
    <x v="6"/>
    <s v="A"/>
    <x v="1"/>
    <x v="5"/>
    <n v="77"/>
    <x v="3"/>
    <s v="F"/>
    <s v="Pass"/>
  </r>
  <r>
    <x v="20"/>
    <x v="18"/>
    <x v="1"/>
    <x v="2"/>
    <s v="C"/>
    <x v="0"/>
    <x v="17"/>
    <n v="74"/>
    <x v="2"/>
    <s v="A"/>
    <s v="Pass"/>
  </r>
  <r>
    <x v="21"/>
    <x v="19"/>
    <x v="1"/>
    <x v="1"/>
    <s v="C"/>
    <x v="2"/>
    <x v="18"/>
    <n v="78"/>
    <x v="1"/>
    <s v="A"/>
    <s v="Pass"/>
  </r>
  <r>
    <x v="22"/>
    <x v="20"/>
    <x v="1"/>
    <x v="2"/>
    <s v="C"/>
    <x v="1"/>
    <x v="4"/>
    <n v="64"/>
    <x v="1"/>
    <s v="F"/>
    <s v="Pass"/>
  </r>
  <r>
    <x v="23"/>
    <x v="21"/>
    <x v="1"/>
    <x v="4"/>
    <s v="A"/>
    <x v="5"/>
    <x v="19"/>
    <n v="89"/>
    <x v="4"/>
    <s v="F"/>
    <s v="Pass"/>
  </r>
  <r>
    <x v="24"/>
    <x v="5"/>
    <x v="0"/>
    <x v="2"/>
    <s v="A"/>
    <x v="5"/>
    <x v="20"/>
    <n v="73"/>
    <x v="0"/>
    <s v="B"/>
    <s v="Pass"/>
  </r>
  <r>
    <x v="25"/>
    <x v="22"/>
    <x v="1"/>
    <x v="6"/>
    <s v="C"/>
    <x v="1"/>
    <x v="21"/>
    <n v="69"/>
    <x v="0"/>
    <s v="A+"/>
    <s v="Pass"/>
  </r>
  <r>
    <x v="26"/>
    <x v="23"/>
    <x v="1"/>
    <x v="3"/>
    <s v="A"/>
    <x v="4"/>
    <x v="22"/>
    <n v="67"/>
    <x v="1"/>
    <s v="A+"/>
    <s v="Pass"/>
  </r>
  <r>
    <x v="27"/>
    <x v="16"/>
    <x v="1"/>
    <x v="6"/>
    <s v="A"/>
    <x v="5"/>
    <x v="0"/>
    <n v="74"/>
    <x v="5"/>
    <s v="F"/>
    <s v="Pass"/>
  </r>
  <r>
    <x v="28"/>
    <x v="24"/>
    <x v="1"/>
    <x v="0"/>
    <s v="B"/>
    <x v="4"/>
    <x v="2"/>
    <n v="77"/>
    <x v="3"/>
    <s v="C"/>
    <s v="Pass"/>
  </r>
  <r>
    <x v="29"/>
    <x v="25"/>
    <x v="0"/>
    <x v="5"/>
    <s v="C"/>
    <x v="2"/>
    <x v="23"/>
    <n v="70"/>
    <x v="4"/>
    <s v="A"/>
    <s v="Pass"/>
  </r>
  <r>
    <x v="30"/>
    <x v="26"/>
    <x v="0"/>
    <x v="5"/>
    <s v="A"/>
    <x v="2"/>
    <x v="24"/>
    <n v="71"/>
    <x v="4"/>
    <s v="F"/>
    <s v="Pass"/>
  </r>
  <r>
    <x v="31"/>
    <x v="21"/>
    <x v="1"/>
    <x v="4"/>
    <s v="A"/>
    <x v="2"/>
    <x v="25"/>
    <n v="86"/>
    <x v="3"/>
    <s v="F"/>
    <s v="Pass"/>
  </r>
  <r>
    <x v="32"/>
    <x v="5"/>
    <x v="0"/>
    <x v="3"/>
    <s v="A"/>
    <x v="3"/>
    <x v="25"/>
    <n v="74"/>
    <x v="0"/>
    <s v="F"/>
    <s v="Pass"/>
  </r>
  <r>
    <x v="33"/>
    <x v="27"/>
    <x v="0"/>
    <x v="6"/>
    <s v="B"/>
    <x v="1"/>
    <x v="13"/>
    <n v="63"/>
    <x v="0"/>
    <s v="F"/>
    <s v="Pass"/>
  </r>
  <r>
    <x v="34"/>
    <x v="28"/>
    <x v="0"/>
    <x v="3"/>
    <s v="A"/>
    <x v="4"/>
    <x v="26"/>
    <n v="88"/>
    <x v="5"/>
    <s v="F"/>
    <s v="Pass"/>
  </r>
  <r>
    <x v="35"/>
    <x v="0"/>
    <x v="0"/>
    <x v="4"/>
    <s v="C"/>
    <x v="5"/>
    <x v="27"/>
    <n v="85"/>
    <x v="1"/>
    <s v="B"/>
    <s v="Pass"/>
  </r>
  <r>
    <x v="36"/>
    <x v="6"/>
    <x v="1"/>
    <x v="6"/>
    <s v="B"/>
    <x v="3"/>
    <x v="19"/>
    <n v="98"/>
    <x v="2"/>
    <s v="F"/>
    <s v="Pass"/>
  </r>
  <r>
    <x v="37"/>
    <x v="29"/>
    <x v="1"/>
    <x v="1"/>
    <s v="A"/>
    <x v="3"/>
    <x v="28"/>
    <n v="82"/>
    <x v="5"/>
    <s v="B"/>
    <s v="Pass"/>
  </r>
  <r>
    <x v="38"/>
    <x v="30"/>
    <x v="0"/>
    <x v="2"/>
    <s v="B"/>
    <x v="5"/>
    <x v="22"/>
    <n v="81"/>
    <x v="2"/>
    <s v="A+"/>
    <s v="Pass"/>
  </r>
  <r>
    <x v="39"/>
    <x v="14"/>
    <x v="0"/>
    <x v="5"/>
    <s v="B"/>
    <x v="2"/>
    <x v="5"/>
    <n v="92"/>
    <x v="5"/>
    <s v="F"/>
    <s v="Pass"/>
  </r>
  <r>
    <x v="40"/>
    <x v="26"/>
    <x v="0"/>
    <x v="0"/>
    <s v="B"/>
    <x v="5"/>
    <x v="18"/>
    <n v="82"/>
    <x v="3"/>
    <s v="A"/>
    <s v="Pass"/>
  </r>
  <r>
    <x v="41"/>
    <x v="31"/>
    <x v="1"/>
    <x v="2"/>
    <s v="B"/>
    <x v="5"/>
    <x v="29"/>
    <n v="67"/>
    <x v="4"/>
    <s v="B"/>
    <s v="Pass"/>
  </r>
  <r>
    <x v="42"/>
    <x v="32"/>
    <x v="0"/>
    <x v="5"/>
    <s v="B"/>
    <x v="2"/>
    <x v="14"/>
    <n v="70"/>
    <x v="1"/>
    <s v="C"/>
    <s v="Pass"/>
  </r>
  <r>
    <x v="43"/>
    <x v="33"/>
    <x v="0"/>
    <x v="0"/>
    <s v="B"/>
    <x v="3"/>
    <x v="11"/>
    <n v="80"/>
    <x v="3"/>
    <s v="F"/>
    <s v="Pass"/>
  </r>
  <r>
    <x v="44"/>
    <x v="4"/>
    <x v="0"/>
    <x v="1"/>
    <s v="A"/>
    <x v="3"/>
    <x v="3"/>
    <n v="87"/>
    <x v="1"/>
    <s v="B"/>
    <s v="Pass"/>
  </r>
  <r>
    <x v="45"/>
    <x v="34"/>
    <x v="1"/>
    <x v="2"/>
    <s v="B"/>
    <x v="3"/>
    <x v="30"/>
    <n v="94"/>
    <x v="5"/>
    <s v="F"/>
    <s v="Pass"/>
  </r>
  <r>
    <x v="46"/>
    <x v="35"/>
    <x v="1"/>
    <x v="4"/>
    <s v="C"/>
    <x v="5"/>
    <x v="25"/>
    <n v="89"/>
    <x v="6"/>
    <s v="F"/>
    <s v="Pass"/>
  </r>
  <r>
    <x v="47"/>
    <x v="24"/>
    <x v="0"/>
    <x v="2"/>
    <s v="B"/>
    <x v="2"/>
    <x v="10"/>
    <n v="84"/>
    <x v="1"/>
    <s v="A+"/>
    <s v="Pass"/>
  </r>
  <r>
    <x v="48"/>
    <x v="36"/>
    <x v="0"/>
    <x v="0"/>
    <s v="A"/>
    <x v="2"/>
    <x v="31"/>
    <n v="73"/>
    <x v="1"/>
    <s v="A"/>
    <s v="Pass"/>
  </r>
  <r>
    <x v="49"/>
    <x v="37"/>
    <x v="1"/>
    <x v="4"/>
    <s v="A"/>
    <x v="2"/>
    <x v="18"/>
    <n v="79"/>
    <x v="0"/>
    <s v="A"/>
    <s v="Pass"/>
  </r>
  <r>
    <x v="50"/>
    <x v="38"/>
    <x v="0"/>
    <x v="4"/>
    <s v="B"/>
    <x v="1"/>
    <x v="27"/>
    <n v="63"/>
    <x v="0"/>
    <s v="B"/>
    <s v="Pass"/>
  </r>
  <r>
    <x v="51"/>
    <x v="39"/>
    <x v="1"/>
    <x v="3"/>
    <s v="B"/>
    <x v="3"/>
    <x v="2"/>
    <n v="91"/>
    <x v="6"/>
    <s v="C"/>
    <s v="Pass"/>
  </r>
  <r>
    <x v="52"/>
    <x v="8"/>
    <x v="0"/>
    <x v="2"/>
    <s v="A"/>
    <x v="1"/>
    <x v="32"/>
    <n v="89"/>
    <x v="4"/>
    <s v="A+"/>
    <s v="Pass"/>
  </r>
  <r>
    <x v="53"/>
    <x v="40"/>
    <x v="1"/>
    <x v="5"/>
    <s v="A"/>
    <x v="4"/>
    <x v="33"/>
    <n v="89"/>
    <x v="6"/>
    <s v="B"/>
    <s v="Pass"/>
  </r>
  <r>
    <x v="54"/>
    <x v="41"/>
    <x v="0"/>
    <x v="0"/>
    <s v="A"/>
    <x v="2"/>
    <x v="23"/>
    <n v="100"/>
    <x v="2"/>
    <s v="A"/>
    <s v="Pass"/>
  </r>
  <r>
    <x v="55"/>
    <x v="27"/>
    <x v="1"/>
    <x v="4"/>
    <s v="A"/>
    <x v="4"/>
    <x v="21"/>
    <n v="98"/>
    <x v="2"/>
    <s v="A+"/>
    <s v="Pass"/>
  </r>
  <r>
    <x v="56"/>
    <x v="42"/>
    <x v="1"/>
    <x v="0"/>
    <s v="B"/>
    <x v="3"/>
    <x v="34"/>
    <n v="89"/>
    <x v="1"/>
    <s v="F"/>
    <s v="Pass"/>
  </r>
  <r>
    <x v="57"/>
    <x v="40"/>
    <x v="0"/>
    <x v="1"/>
    <s v="A"/>
    <x v="0"/>
    <x v="25"/>
    <n v="97"/>
    <x v="2"/>
    <s v="F"/>
    <s v="Pass"/>
  </r>
  <r>
    <x v="58"/>
    <x v="43"/>
    <x v="1"/>
    <x v="5"/>
    <s v="B"/>
    <x v="2"/>
    <x v="33"/>
    <n v="95"/>
    <x v="4"/>
    <s v="B"/>
    <s v="Pass"/>
  </r>
  <r>
    <x v="59"/>
    <x v="19"/>
    <x v="0"/>
    <x v="3"/>
    <s v="B"/>
    <x v="0"/>
    <x v="25"/>
    <n v="76"/>
    <x v="2"/>
    <s v="F"/>
    <s v="Pass"/>
  </r>
  <r>
    <x v="60"/>
    <x v="44"/>
    <x v="0"/>
    <x v="3"/>
    <s v="C"/>
    <x v="3"/>
    <x v="6"/>
    <n v="89"/>
    <x v="0"/>
    <s v="B"/>
    <s v="Pass"/>
  </r>
  <r>
    <x v="61"/>
    <x v="3"/>
    <x v="1"/>
    <x v="2"/>
    <s v="B"/>
    <x v="3"/>
    <x v="1"/>
    <n v="76"/>
    <x v="0"/>
    <s v="A+"/>
    <s v="Pass"/>
  </r>
  <r>
    <x v="62"/>
    <x v="45"/>
    <x v="0"/>
    <x v="0"/>
    <s v="C"/>
    <x v="3"/>
    <x v="29"/>
    <n v="84"/>
    <x v="1"/>
    <s v="B"/>
    <s v="Pass"/>
  </r>
  <r>
    <x v="63"/>
    <x v="28"/>
    <x v="1"/>
    <x v="1"/>
    <s v="C"/>
    <x v="1"/>
    <x v="35"/>
    <n v="84"/>
    <x v="6"/>
    <s v="B"/>
    <s v="Pass"/>
  </r>
  <r>
    <x v="64"/>
    <x v="21"/>
    <x v="0"/>
    <x v="1"/>
    <s v="C"/>
    <x v="5"/>
    <x v="36"/>
    <n v="85"/>
    <x v="1"/>
    <s v="C"/>
    <s v="Pass"/>
  </r>
  <r>
    <x v="65"/>
    <x v="43"/>
    <x v="0"/>
    <x v="0"/>
    <s v="B"/>
    <x v="4"/>
    <x v="16"/>
    <n v="85"/>
    <x v="0"/>
    <s v="C"/>
    <s v="Pass"/>
  </r>
  <r>
    <x v="66"/>
    <x v="36"/>
    <x v="1"/>
    <x v="0"/>
    <s v="C"/>
    <x v="1"/>
    <x v="13"/>
    <n v="89"/>
    <x v="6"/>
    <s v="F"/>
    <s v="Pass"/>
  </r>
  <r>
    <x v="67"/>
    <x v="46"/>
    <x v="1"/>
    <x v="3"/>
    <s v="A"/>
    <x v="5"/>
    <x v="0"/>
    <n v="78"/>
    <x v="3"/>
    <s v="F"/>
    <s v="Pass"/>
  </r>
  <r>
    <x v="68"/>
    <x v="47"/>
    <x v="0"/>
    <x v="0"/>
    <s v="C"/>
    <x v="0"/>
    <x v="37"/>
    <n v="60"/>
    <x v="2"/>
    <s v="F"/>
    <s v="Pass"/>
  </r>
  <r>
    <x v="69"/>
    <x v="12"/>
    <x v="1"/>
    <x v="1"/>
    <s v="A"/>
    <x v="5"/>
    <x v="38"/>
    <n v="79"/>
    <x v="3"/>
    <s v="A+"/>
    <s v="Pass"/>
  </r>
  <r>
    <x v="70"/>
    <x v="35"/>
    <x v="1"/>
    <x v="3"/>
    <s v="C"/>
    <x v="5"/>
    <x v="21"/>
    <n v="60"/>
    <x v="1"/>
    <s v="A+"/>
    <s v="Pass"/>
  </r>
  <r>
    <x v="71"/>
    <x v="48"/>
    <x v="1"/>
    <x v="3"/>
    <s v="C"/>
    <x v="1"/>
    <x v="21"/>
    <n v="99"/>
    <x v="3"/>
    <s v="A+"/>
    <s v="Pass"/>
  </r>
  <r>
    <x v="72"/>
    <x v="30"/>
    <x v="1"/>
    <x v="0"/>
    <s v="A"/>
    <x v="3"/>
    <x v="39"/>
    <n v="83"/>
    <x v="3"/>
    <s v="A"/>
    <s v="Pass"/>
  </r>
  <r>
    <x v="73"/>
    <x v="36"/>
    <x v="1"/>
    <x v="5"/>
    <s v="B"/>
    <x v="4"/>
    <x v="40"/>
    <n v="94"/>
    <x v="1"/>
    <s v="F"/>
    <s v="Pass"/>
  </r>
  <r>
    <x v="74"/>
    <x v="49"/>
    <x v="0"/>
    <x v="3"/>
    <s v="B"/>
    <x v="0"/>
    <x v="41"/>
    <n v="69"/>
    <x v="0"/>
    <s v="F"/>
    <s v="Pass"/>
  </r>
  <r>
    <x v="75"/>
    <x v="16"/>
    <x v="0"/>
    <x v="1"/>
    <s v="C"/>
    <x v="3"/>
    <x v="42"/>
    <n v="83"/>
    <x v="1"/>
    <s v="C"/>
    <s v="Pass"/>
  </r>
  <r>
    <x v="76"/>
    <x v="40"/>
    <x v="1"/>
    <x v="0"/>
    <s v="A"/>
    <x v="0"/>
    <x v="22"/>
    <n v="93"/>
    <x v="5"/>
    <s v="A+"/>
    <s v="Pass"/>
  </r>
  <r>
    <x v="77"/>
    <x v="36"/>
    <x v="0"/>
    <x v="2"/>
    <s v="C"/>
    <x v="3"/>
    <x v="14"/>
    <n v="79"/>
    <x v="2"/>
    <s v="C"/>
    <s v="Pass"/>
  </r>
  <r>
    <x v="78"/>
    <x v="3"/>
    <x v="1"/>
    <x v="2"/>
    <s v="A"/>
    <x v="4"/>
    <x v="43"/>
    <n v="69"/>
    <x v="3"/>
    <s v="A"/>
    <s v="Pass"/>
  </r>
  <r>
    <x v="79"/>
    <x v="3"/>
    <x v="1"/>
    <x v="5"/>
    <s v="B"/>
    <x v="0"/>
    <x v="3"/>
    <n v="100"/>
    <x v="1"/>
    <s v="B"/>
    <s v="Pass"/>
  </r>
  <r>
    <x v="80"/>
    <x v="50"/>
    <x v="0"/>
    <x v="3"/>
    <s v="C"/>
    <x v="2"/>
    <x v="39"/>
    <n v="73"/>
    <x v="4"/>
    <s v="A"/>
    <s v="Pass"/>
  </r>
  <r>
    <x v="81"/>
    <x v="13"/>
    <x v="1"/>
    <x v="1"/>
    <s v="A"/>
    <x v="3"/>
    <x v="44"/>
    <n v="81"/>
    <x v="3"/>
    <s v="F"/>
    <s v="Pass"/>
  </r>
  <r>
    <x v="82"/>
    <x v="16"/>
    <x v="0"/>
    <x v="2"/>
    <s v="C"/>
    <x v="5"/>
    <x v="13"/>
    <n v="60"/>
    <x v="1"/>
    <s v="F"/>
    <s v="Pass"/>
  </r>
  <r>
    <x v="83"/>
    <x v="44"/>
    <x v="1"/>
    <x v="6"/>
    <s v="A"/>
    <x v="5"/>
    <x v="39"/>
    <n v="97"/>
    <x v="3"/>
    <s v="A"/>
    <s v="Pass"/>
  </r>
  <r>
    <x v="84"/>
    <x v="31"/>
    <x v="1"/>
    <x v="1"/>
    <s v="B"/>
    <x v="2"/>
    <x v="33"/>
    <n v="62"/>
    <x v="0"/>
    <s v="B"/>
    <s v="Pass"/>
  </r>
  <r>
    <x v="85"/>
    <x v="51"/>
    <x v="1"/>
    <x v="4"/>
    <s v="C"/>
    <x v="2"/>
    <x v="35"/>
    <n v="85"/>
    <x v="0"/>
    <s v="B"/>
    <s v="Pass"/>
  </r>
  <r>
    <x v="86"/>
    <x v="19"/>
    <x v="1"/>
    <x v="1"/>
    <s v="C"/>
    <x v="1"/>
    <x v="22"/>
    <n v="60"/>
    <x v="6"/>
    <s v="A+"/>
    <s v="Pass"/>
  </r>
  <r>
    <x v="87"/>
    <x v="34"/>
    <x v="1"/>
    <x v="0"/>
    <s v="B"/>
    <x v="3"/>
    <x v="36"/>
    <n v="85"/>
    <x v="3"/>
    <s v="C"/>
    <s v="Pass"/>
  </r>
  <r>
    <x v="88"/>
    <x v="52"/>
    <x v="1"/>
    <x v="4"/>
    <s v="C"/>
    <x v="5"/>
    <x v="20"/>
    <n v="95"/>
    <x v="1"/>
    <s v="B"/>
    <s v="Pass"/>
  </r>
  <r>
    <x v="89"/>
    <x v="52"/>
    <x v="0"/>
    <x v="3"/>
    <s v="B"/>
    <x v="2"/>
    <x v="36"/>
    <n v="81"/>
    <x v="1"/>
    <s v="C"/>
    <s v="Pass"/>
  </r>
  <r>
    <x v="90"/>
    <x v="53"/>
    <x v="1"/>
    <x v="6"/>
    <s v="A"/>
    <x v="3"/>
    <x v="25"/>
    <n v="86"/>
    <x v="2"/>
    <s v="F"/>
    <s v="Pass"/>
  </r>
  <r>
    <x v="91"/>
    <x v="54"/>
    <x v="0"/>
    <x v="4"/>
    <s v="A"/>
    <x v="0"/>
    <x v="37"/>
    <n v="75"/>
    <x v="3"/>
    <s v="F"/>
    <s v="Pass"/>
  </r>
  <r>
    <x v="92"/>
    <x v="3"/>
    <x v="0"/>
    <x v="6"/>
    <s v="C"/>
    <x v="5"/>
    <x v="15"/>
    <n v="76"/>
    <x v="4"/>
    <s v="F"/>
    <s v="Pass"/>
  </r>
  <r>
    <x v="93"/>
    <x v="55"/>
    <x v="0"/>
    <x v="4"/>
    <s v="C"/>
    <x v="3"/>
    <x v="45"/>
    <n v="96"/>
    <x v="1"/>
    <s v="A"/>
    <s v="Pass"/>
  </r>
  <r>
    <x v="94"/>
    <x v="48"/>
    <x v="1"/>
    <x v="0"/>
    <s v="C"/>
    <x v="3"/>
    <x v="4"/>
    <n v="82"/>
    <x v="3"/>
    <s v="F"/>
    <s v="Pass"/>
  </r>
  <r>
    <x v="95"/>
    <x v="56"/>
    <x v="1"/>
    <x v="4"/>
    <s v="A"/>
    <x v="2"/>
    <x v="46"/>
    <n v="65"/>
    <x v="1"/>
    <s v="A+"/>
    <s v="Pass"/>
  </r>
  <r>
    <x v="96"/>
    <x v="36"/>
    <x v="0"/>
    <x v="6"/>
    <s v="A"/>
    <x v="4"/>
    <x v="25"/>
    <n v="62"/>
    <x v="5"/>
    <s v="F"/>
    <s v="Pass"/>
  </r>
  <r>
    <x v="97"/>
    <x v="57"/>
    <x v="1"/>
    <x v="1"/>
    <s v="B"/>
    <x v="3"/>
    <x v="47"/>
    <n v="71"/>
    <x v="4"/>
    <s v="A"/>
    <s v="Pass"/>
  </r>
  <r>
    <x v="98"/>
    <x v="58"/>
    <x v="1"/>
    <x v="1"/>
    <s v="C"/>
    <x v="0"/>
    <x v="5"/>
    <n v="62"/>
    <x v="4"/>
    <s v="F"/>
    <s v="Pass"/>
  </r>
  <r>
    <x v="99"/>
    <x v="59"/>
    <x v="0"/>
    <x v="1"/>
    <s v="A"/>
    <x v="0"/>
    <x v="4"/>
    <n v="68"/>
    <x v="3"/>
    <s v="F"/>
    <s v="Pass"/>
  </r>
  <r>
    <x v="100"/>
    <x v="12"/>
    <x v="0"/>
    <x v="4"/>
    <s v="C"/>
    <x v="0"/>
    <x v="48"/>
    <n v="81"/>
    <x v="5"/>
    <s v="C"/>
    <s v="Pass"/>
  </r>
  <r>
    <x v="101"/>
    <x v="60"/>
    <x v="0"/>
    <x v="5"/>
    <s v="B"/>
    <x v="5"/>
    <x v="38"/>
    <n v="95"/>
    <x v="2"/>
    <s v="A+"/>
    <s v="Pass"/>
  </r>
  <r>
    <x v="102"/>
    <x v="0"/>
    <x v="0"/>
    <x v="6"/>
    <s v="B"/>
    <x v="0"/>
    <x v="6"/>
    <n v="87"/>
    <x v="3"/>
    <s v="B"/>
    <s v="Pass"/>
  </r>
  <r>
    <x v="103"/>
    <x v="22"/>
    <x v="0"/>
    <x v="0"/>
    <s v="C"/>
    <x v="0"/>
    <x v="24"/>
    <n v="69"/>
    <x v="1"/>
    <s v="F"/>
    <s v="Pass"/>
  </r>
  <r>
    <x v="104"/>
    <x v="33"/>
    <x v="0"/>
    <x v="4"/>
    <s v="A"/>
    <x v="2"/>
    <x v="10"/>
    <n v="67"/>
    <x v="4"/>
    <s v="A+"/>
    <s v="Pass"/>
  </r>
  <r>
    <x v="105"/>
    <x v="2"/>
    <x v="0"/>
    <x v="2"/>
    <s v="C"/>
    <x v="4"/>
    <x v="49"/>
    <n v="76"/>
    <x v="5"/>
    <s v="B"/>
    <s v="Pass"/>
  </r>
  <r>
    <x v="106"/>
    <x v="61"/>
    <x v="1"/>
    <x v="4"/>
    <s v="B"/>
    <x v="2"/>
    <x v="19"/>
    <n v="70"/>
    <x v="1"/>
    <s v="F"/>
    <s v="Pass"/>
  </r>
  <r>
    <x v="107"/>
    <x v="46"/>
    <x v="1"/>
    <x v="0"/>
    <s v="A"/>
    <x v="2"/>
    <x v="31"/>
    <n v="62"/>
    <x v="3"/>
    <s v="A"/>
    <s v="Pass"/>
  </r>
  <r>
    <x v="108"/>
    <x v="62"/>
    <x v="0"/>
    <x v="2"/>
    <s v="B"/>
    <x v="5"/>
    <x v="50"/>
    <n v="66"/>
    <x v="4"/>
    <s v="B"/>
    <s v="Pass"/>
  </r>
  <r>
    <x v="109"/>
    <x v="63"/>
    <x v="1"/>
    <x v="3"/>
    <s v="B"/>
    <x v="3"/>
    <x v="45"/>
    <n v="60"/>
    <x v="5"/>
    <s v="A"/>
    <s v="Pass"/>
  </r>
  <r>
    <x v="110"/>
    <x v="38"/>
    <x v="0"/>
    <x v="3"/>
    <s v="B"/>
    <x v="2"/>
    <x v="29"/>
    <n v="99"/>
    <x v="6"/>
    <s v="B"/>
    <s v="Pass"/>
  </r>
  <r>
    <x v="111"/>
    <x v="54"/>
    <x v="1"/>
    <x v="2"/>
    <s v="B"/>
    <x v="5"/>
    <x v="11"/>
    <n v="73"/>
    <x v="6"/>
    <s v="F"/>
    <s v="Pass"/>
  </r>
  <r>
    <x v="112"/>
    <x v="64"/>
    <x v="0"/>
    <x v="0"/>
    <s v="B"/>
    <x v="2"/>
    <x v="16"/>
    <n v="66"/>
    <x v="4"/>
    <s v="C"/>
    <s v="Pass"/>
  </r>
  <r>
    <x v="113"/>
    <x v="9"/>
    <x v="1"/>
    <x v="5"/>
    <s v="A"/>
    <x v="3"/>
    <x v="51"/>
    <n v="66"/>
    <x v="4"/>
    <s v="A+"/>
    <s v="Pass"/>
  </r>
  <r>
    <x v="114"/>
    <x v="36"/>
    <x v="0"/>
    <x v="3"/>
    <s v="C"/>
    <x v="2"/>
    <x v="27"/>
    <n v="92"/>
    <x v="1"/>
    <s v="B"/>
    <s v="Pass"/>
  </r>
  <r>
    <x v="115"/>
    <x v="40"/>
    <x v="0"/>
    <x v="4"/>
    <s v="C"/>
    <x v="1"/>
    <x v="52"/>
    <n v="68"/>
    <x v="3"/>
    <s v="F"/>
    <s v="Pass"/>
  </r>
  <r>
    <x v="116"/>
    <x v="37"/>
    <x v="1"/>
    <x v="1"/>
    <s v="C"/>
    <x v="3"/>
    <x v="1"/>
    <n v="81"/>
    <x v="1"/>
    <s v="A+"/>
    <s v="Pass"/>
  </r>
  <r>
    <x v="117"/>
    <x v="8"/>
    <x v="1"/>
    <x v="1"/>
    <s v="A"/>
    <x v="2"/>
    <x v="34"/>
    <n v="87"/>
    <x v="1"/>
    <s v="F"/>
    <s v="Pass"/>
  </r>
  <r>
    <x v="118"/>
    <x v="65"/>
    <x v="1"/>
    <x v="2"/>
    <s v="B"/>
    <x v="3"/>
    <x v="53"/>
    <n v="75"/>
    <x v="2"/>
    <s v="C"/>
    <s v="Pass"/>
  </r>
  <r>
    <x v="119"/>
    <x v="8"/>
    <x v="1"/>
    <x v="3"/>
    <s v="B"/>
    <x v="5"/>
    <x v="46"/>
    <n v="93"/>
    <x v="2"/>
    <s v="A+"/>
    <s v="Pass"/>
  </r>
  <r>
    <x v="120"/>
    <x v="66"/>
    <x v="0"/>
    <x v="1"/>
    <s v="B"/>
    <x v="2"/>
    <x v="21"/>
    <n v="73"/>
    <x v="2"/>
    <s v="A+"/>
    <s v="Pass"/>
  </r>
  <r>
    <x v="121"/>
    <x v="7"/>
    <x v="0"/>
    <x v="4"/>
    <s v="B"/>
    <x v="5"/>
    <x v="26"/>
    <n v="87"/>
    <x v="1"/>
    <s v="F"/>
    <s v="Pass"/>
  </r>
  <r>
    <x v="122"/>
    <x v="53"/>
    <x v="1"/>
    <x v="2"/>
    <s v="C"/>
    <x v="5"/>
    <x v="47"/>
    <n v="81"/>
    <x v="0"/>
    <s v="A"/>
    <s v="Pass"/>
  </r>
  <r>
    <x v="123"/>
    <x v="15"/>
    <x v="1"/>
    <x v="1"/>
    <s v="C"/>
    <x v="5"/>
    <x v="1"/>
    <n v="85"/>
    <x v="1"/>
    <s v="A+"/>
    <s v="Pass"/>
  </r>
  <r>
    <x v="124"/>
    <x v="33"/>
    <x v="1"/>
    <x v="6"/>
    <s v="B"/>
    <x v="1"/>
    <x v="32"/>
    <n v="69"/>
    <x v="4"/>
    <s v="A+"/>
    <s v="Pass"/>
  </r>
  <r>
    <x v="125"/>
    <x v="17"/>
    <x v="0"/>
    <x v="6"/>
    <s v="A"/>
    <x v="0"/>
    <x v="54"/>
    <n v="60"/>
    <x v="3"/>
    <s v="C"/>
    <s v="Pass"/>
  </r>
  <r>
    <x v="126"/>
    <x v="67"/>
    <x v="0"/>
    <x v="3"/>
    <s v="B"/>
    <x v="5"/>
    <x v="25"/>
    <n v="83"/>
    <x v="1"/>
    <s v="F"/>
    <s v="Pass"/>
  </r>
  <r>
    <x v="127"/>
    <x v="58"/>
    <x v="1"/>
    <x v="1"/>
    <s v="B"/>
    <x v="3"/>
    <x v="48"/>
    <n v="93"/>
    <x v="5"/>
    <s v="C"/>
    <s v="Pass"/>
  </r>
  <r>
    <x v="128"/>
    <x v="68"/>
    <x v="0"/>
    <x v="1"/>
    <s v="C"/>
    <x v="2"/>
    <x v="19"/>
    <n v="64"/>
    <x v="3"/>
    <s v="F"/>
    <s v="Pass"/>
  </r>
  <r>
    <x v="129"/>
    <x v="69"/>
    <x v="0"/>
    <x v="1"/>
    <s v="A"/>
    <x v="1"/>
    <x v="43"/>
    <n v="81"/>
    <x v="5"/>
    <s v="A"/>
    <s v="Pass"/>
  </r>
  <r>
    <x v="130"/>
    <x v="70"/>
    <x v="0"/>
    <x v="1"/>
    <s v="C"/>
    <x v="2"/>
    <x v="44"/>
    <n v="78"/>
    <x v="5"/>
    <s v="F"/>
    <s v="Pass"/>
  </r>
  <r>
    <x v="131"/>
    <x v="71"/>
    <x v="1"/>
    <x v="6"/>
    <s v="C"/>
    <x v="2"/>
    <x v="21"/>
    <n v="82"/>
    <x v="5"/>
    <s v="A+"/>
    <s v="Pass"/>
  </r>
  <r>
    <x v="132"/>
    <x v="72"/>
    <x v="0"/>
    <x v="4"/>
    <s v="A"/>
    <x v="2"/>
    <x v="55"/>
    <n v="71"/>
    <x v="0"/>
    <s v="F"/>
    <s v="Pass"/>
  </r>
  <r>
    <x v="133"/>
    <x v="34"/>
    <x v="0"/>
    <x v="2"/>
    <s v="A"/>
    <x v="4"/>
    <x v="10"/>
    <n v="85"/>
    <x v="0"/>
    <s v="A+"/>
    <s v="Pass"/>
  </r>
  <r>
    <x v="134"/>
    <x v="54"/>
    <x v="1"/>
    <x v="2"/>
    <s v="B"/>
    <x v="0"/>
    <x v="10"/>
    <n v="67"/>
    <x v="2"/>
    <s v="A+"/>
    <s v="Pass"/>
  </r>
  <r>
    <x v="135"/>
    <x v="73"/>
    <x v="1"/>
    <x v="1"/>
    <s v="C"/>
    <x v="0"/>
    <x v="21"/>
    <n v="94"/>
    <x v="0"/>
    <s v="A+"/>
    <s v="Pass"/>
  </r>
  <r>
    <x v="136"/>
    <x v="5"/>
    <x v="1"/>
    <x v="4"/>
    <s v="A"/>
    <x v="4"/>
    <x v="19"/>
    <n v="92"/>
    <x v="5"/>
    <s v="F"/>
    <s v="Pass"/>
  </r>
  <r>
    <x v="137"/>
    <x v="74"/>
    <x v="0"/>
    <x v="6"/>
    <s v="C"/>
    <x v="1"/>
    <x v="31"/>
    <n v="76"/>
    <x v="3"/>
    <s v="A"/>
    <s v="Pass"/>
  </r>
  <r>
    <x v="138"/>
    <x v="62"/>
    <x v="1"/>
    <x v="3"/>
    <s v="C"/>
    <x v="4"/>
    <x v="36"/>
    <n v="80"/>
    <x v="1"/>
    <s v="C"/>
    <s v="Pass"/>
  </r>
  <r>
    <x v="139"/>
    <x v="75"/>
    <x v="1"/>
    <x v="6"/>
    <s v="A"/>
    <x v="5"/>
    <x v="53"/>
    <n v="63"/>
    <x v="5"/>
    <s v="C"/>
    <s v="Pass"/>
  </r>
  <r>
    <x v="140"/>
    <x v="76"/>
    <x v="0"/>
    <x v="0"/>
    <s v="A"/>
    <x v="2"/>
    <x v="27"/>
    <n v="70"/>
    <x v="2"/>
    <s v="B"/>
    <s v="Pass"/>
  </r>
  <r>
    <x v="141"/>
    <x v="61"/>
    <x v="0"/>
    <x v="2"/>
    <s v="B"/>
    <x v="0"/>
    <x v="49"/>
    <n v="68"/>
    <x v="1"/>
    <s v="B"/>
    <s v="Pass"/>
  </r>
  <r>
    <x v="142"/>
    <x v="77"/>
    <x v="1"/>
    <x v="3"/>
    <s v="B"/>
    <x v="1"/>
    <x v="43"/>
    <n v="89"/>
    <x v="6"/>
    <s v="A"/>
    <s v="Pass"/>
  </r>
  <r>
    <x v="143"/>
    <x v="69"/>
    <x v="1"/>
    <x v="2"/>
    <s v="C"/>
    <x v="5"/>
    <x v="18"/>
    <n v="94"/>
    <x v="1"/>
    <s v="A"/>
    <s v="Pass"/>
  </r>
  <r>
    <x v="144"/>
    <x v="57"/>
    <x v="0"/>
    <x v="6"/>
    <s v="A"/>
    <x v="2"/>
    <x v="11"/>
    <n v="88"/>
    <x v="4"/>
    <s v="F"/>
    <s v="Pass"/>
  </r>
  <r>
    <x v="145"/>
    <x v="32"/>
    <x v="1"/>
    <x v="2"/>
    <s v="C"/>
    <x v="3"/>
    <x v="39"/>
    <n v="92"/>
    <x v="3"/>
    <s v="A"/>
    <s v="Pass"/>
  </r>
  <r>
    <x v="146"/>
    <x v="78"/>
    <x v="1"/>
    <x v="4"/>
    <s v="A"/>
    <x v="3"/>
    <x v="41"/>
    <n v="92"/>
    <x v="6"/>
    <s v="F"/>
    <s v="Pass"/>
  </r>
  <r>
    <x v="147"/>
    <x v="79"/>
    <x v="0"/>
    <x v="5"/>
    <s v="B"/>
    <x v="1"/>
    <x v="26"/>
    <n v="88"/>
    <x v="4"/>
    <s v="F"/>
    <s v="Pass"/>
  </r>
  <r>
    <x v="148"/>
    <x v="56"/>
    <x v="0"/>
    <x v="6"/>
    <s v="B"/>
    <x v="0"/>
    <x v="42"/>
    <n v="75"/>
    <x v="2"/>
    <s v="C"/>
    <s v="Pass"/>
  </r>
  <r>
    <x v="149"/>
    <x v="7"/>
    <x v="0"/>
    <x v="3"/>
    <s v="C"/>
    <x v="1"/>
    <x v="32"/>
    <n v="98"/>
    <x v="6"/>
    <s v="A+"/>
    <s v="Pass"/>
  </r>
  <r>
    <x v="150"/>
    <x v="44"/>
    <x v="0"/>
    <x v="3"/>
    <s v="A"/>
    <x v="4"/>
    <x v="24"/>
    <n v="90"/>
    <x v="3"/>
    <s v="F"/>
    <s v="Pass"/>
  </r>
  <r>
    <x v="151"/>
    <x v="75"/>
    <x v="0"/>
    <x v="5"/>
    <s v="C"/>
    <x v="3"/>
    <x v="10"/>
    <n v="97"/>
    <x v="1"/>
    <s v="A+"/>
    <s v="Pass"/>
  </r>
  <r>
    <x v="152"/>
    <x v="21"/>
    <x v="1"/>
    <x v="3"/>
    <s v="B"/>
    <x v="3"/>
    <x v="37"/>
    <n v="77"/>
    <x v="1"/>
    <s v="F"/>
    <s v="Pass"/>
  </r>
  <r>
    <x v="153"/>
    <x v="1"/>
    <x v="1"/>
    <x v="0"/>
    <s v="A"/>
    <x v="5"/>
    <x v="15"/>
    <n v="67"/>
    <x v="0"/>
    <s v="F"/>
    <s v="Pass"/>
  </r>
  <r>
    <x v="154"/>
    <x v="36"/>
    <x v="0"/>
    <x v="3"/>
    <s v="C"/>
    <x v="0"/>
    <x v="56"/>
    <n v="89"/>
    <x v="3"/>
    <s v="F"/>
    <s v="Pass"/>
  </r>
  <r>
    <x v="155"/>
    <x v="64"/>
    <x v="0"/>
    <x v="4"/>
    <s v="C"/>
    <x v="2"/>
    <x v="42"/>
    <n v="87"/>
    <x v="0"/>
    <s v="C"/>
    <s v="Pass"/>
  </r>
  <r>
    <x v="156"/>
    <x v="80"/>
    <x v="1"/>
    <x v="3"/>
    <s v="C"/>
    <x v="3"/>
    <x v="30"/>
    <n v="68"/>
    <x v="4"/>
    <s v="F"/>
    <s v="Pass"/>
  </r>
  <r>
    <x v="157"/>
    <x v="66"/>
    <x v="0"/>
    <x v="3"/>
    <s v="A"/>
    <x v="2"/>
    <x v="34"/>
    <n v="76"/>
    <x v="5"/>
    <s v="F"/>
    <s v="Pass"/>
  </r>
  <r>
    <x v="158"/>
    <x v="19"/>
    <x v="0"/>
    <x v="4"/>
    <s v="C"/>
    <x v="1"/>
    <x v="13"/>
    <n v="67"/>
    <x v="0"/>
    <s v="F"/>
    <s v="Pass"/>
  </r>
  <r>
    <x v="159"/>
    <x v="81"/>
    <x v="1"/>
    <x v="0"/>
    <s v="B"/>
    <x v="5"/>
    <x v="31"/>
    <n v="63"/>
    <x v="1"/>
    <s v="A"/>
    <s v="Pass"/>
  </r>
  <r>
    <x v="160"/>
    <x v="61"/>
    <x v="1"/>
    <x v="2"/>
    <s v="C"/>
    <x v="1"/>
    <x v="57"/>
    <n v="75"/>
    <x v="6"/>
    <s v="A+"/>
    <s v="Pass"/>
  </r>
  <r>
    <x v="161"/>
    <x v="22"/>
    <x v="0"/>
    <x v="6"/>
    <s v="A"/>
    <x v="2"/>
    <x v="58"/>
    <n v="69"/>
    <x v="4"/>
    <s v="C"/>
    <s v="Pass"/>
  </r>
  <r>
    <x v="162"/>
    <x v="3"/>
    <x v="0"/>
    <x v="0"/>
    <s v="B"/>
    <x v="5"/>
    <x v="0"/>
    <n v="70"/>
    <x v="5"/>
    <s v="F"/>
    <s v="Pass"/>
  </r>
  <r>
    <x v="163"/>
    <x v="31"/>
    <x v="0"/>
    <x v="5"/>
    <s v="C"/>
    <x v="1"/>
    <x v="0"/>
    <n v="73"/>
    <x v="1"/>
    <s v="F"/>
    <s v="Pass"/>
  </r>
  <r>
    <x v="164"/>
    <x v="8"/>
    <x v="1"/>
    <x v="4"/>
    <s v="A"/>
    <x v="5"/>
    <x v="38"/>
    <n v="61"/>
    <x v="3"/>
    <s v="A+"/>
    <s v="Pass"/>
  </r>
  <r>
    <x v="165"/>
    <x v="30"/>
    <x v="1"/>
    <x v="1"/>
    <s v="C"/>
    <x v="1"/>
    <x v="41"/>
    <n v="77"/>
    <x v="0"/>
    <s v="F"/>
    <s v="Pass"/>
  </r>
  <r>
    <x v="166"/>
    <x v="5"/>
    <x v="0"/>
    <x v="6"/>
    <s v="B"/>
    <x v="3"/>
    <x v="51"/>
    <n v="72"/>
    <x v="4"/>
    <s v="A+"/>
    <s v="Pass"/>
  </r>
  <r>
    <x v="167"/>
    <x v="71"/>
    <x v="1"/>
    <x v="5"/>
    <s v="C"/>
    <x v="2"/>
    <x v="16"/>
    <n v="79"/>
    <x v="3"/>
    <s v="C"/>
    <s v="Pass"/>
  </r>
  <r>
    <x v="168"/>
    <x v="2"/>
    <x v="0"/>
    <x v="3"/>
    <s v="B"/>
    <x v="1"/>
    <x v="56"/>
    <n v="66"/>
    <x v="4"/>
    <s v="F"/>
    <s v="Pass"/>
  </r>
  <r>
    <x v="169"/>
    <x v="18"/>
    <x v="1"/>
    <x v="5"/>
    <s v="A"/>
    <x v="1"/>
    <x v="4"/>
    <n v="79"/>
    <x v="4"/>
    <s v="F"/>
    <s v="Pass"/>
  </r>
  <r>
    <x v="170"/>
    <x v="29"/>
    <x v="1"/>
    <x v="3"/>
    <s v="B"/>
    <x v="0"/>
    <x v="59"/>
    <n v="84"/>
    <x v="2"/>
    <s v="F"/>
    <s v="Pass"/>
  </r>
  <r>
    <x v="171"/>
    <x v="11"/>
    <x v="0"/>
    <x v="2"/>
    <s v="C"/>
    <x v="5"/>
    <x v="41"/>
    <n v="86"/>
    <x v="3"/>
    <s v="F"/>
    <s v="Pass"/>
  </r>
  <r>
    <x v="172"/>
    <x v="59"/>
    <x v="0"/>
    <x v="4"/>
    <s v="B"/>
    <x v="1"/>
    <x v="54"/>
    <n v="95"/>
    <x v="1"/>
    <s v="C"/>
    <s v="Pass"/>
  </r>
  <r>
    <x v="173"/>
    <x v="47"/>
    <x v="0"/>
    <x v="6"/>
    <s v="B"/>
    <x v="3"/>
    <x v="46"/>
    <n v="77"/>
    <x v="6"/>
    <s v="A+"/>
    <s v="Pass"/>
  </r>
  <r>
    <x v="174"/>
    <x v="4"/>
    <x v="1"/>
    <x v="1"/>
    <s v="A"/>
    <x v="4"/>
    <x v="37"/>
    <n v="81"/>
    <x v="2"/>
    <s v="F"/>
    <s v="Pass"/>
  </r>
  <r>
    <x v="175"/>
    <x v="82"/>
    <x v="1"/>
    <x v="3"/>
    <s v="B"/>
    <x v="0"/>
    <x v="42"/>
    <n v="81"/>
    <x v="0"/>
    <s v="C"/>
    <s v="Pass"/>
  </r>
  <r>
    <x v="176"/>
    <x v="78"/>
    <x v="0"/>
    <x v="4"/>
    <s v="A"/>
    <x v="4"/>
    <x v="49"/>
    <n v="85"/>
    <x v="3"/>
    <s v="B"/>
    <s v="Pass"/>
  </r>
  <r>
    <x v="177"/>
    <x v="14"/>
    <x v="0"/>
    <x v="2"/>
    <s v="B"/>
    <x v="1"/>
    <x v="19"/>
    <n v="62"/>
    <x v="1"/>
    <s v="F"/>
    <s v="Pass"/>
  </r>
  <r>
    <x v="178"/>
    <x v="74"/>
    <x v="1"/>
    <x v="0"/>
    <s v="B"/>
    <x v="3"/>
    <x v="5"/>
    <n v="82"/>
    <x v="3"/>
    <s v="F"/>
    <s v="Pass"/>
  </r>
  <r>
    <x v="179"/>
    <x v="54"/>
    <x v="0"/>
    <x v="2"/>
    <s v="B"/>
    <x v="3"/>
    <x v="30"/>
    <n v="60"/>
    <x v="6"/>
    <s v="F"/>
    <s v="Pass"/>
  </r>
  <r>
    <x v="180"/>
    <x v="71"/>
    <x v="1"/>
    <x v="5"/>
    <s v="A"/>
    <x v="5"/>
    <x v="49"/>
    <n v="75"/>
    <x v="2"/>
    <s v="B"/>
    <s v="Pass"/>
  </r>
  <r>
    <x v="181"/>
    <x v="77"/>
    <x v="1"/>
    <x v="6"/>
    <s v="B"/>
    <x v="0"/>
    <x v="16"/>
    <n v="97"/>
    <x v="2"/>
    <s v="C"/>
    <s v="Pass"/>
  </r>
  <r>
    <x v="182"/>
    <x v="62"/>
    <x v="1"/>
    <x v="1"/>
    <s v="C"/>
    <x v="5"/>
    <x v="31"/>
    <n v="75"/>
    <x v="1"/>
    <s v="A"/>
    <s v="Pass"/>
  </r>
  <r>
    <x v="183"/>
    <x v="51"/>
    <x v="0"/>
    <x v="4"/>
    <s v="A"/>
    <x v="3"/>
    <x v="39"/>
    <n v="61"/>
    <x v="5"/>
    <s v="A"/>
    <s v="Pass"/>
  </r>
  <r>
    <x v="184"/>
    <x v="49"/>
    <x v="0"/>
    <x v="2"/>
    <s v="C"/>
    <x v="5"/>
    <x v="23"/>
    <n v="94"/>
    <x v="1"/>
    <s v="A"/>
    <s v="Pass"/>
  </r>
  <r>
    <x v="185"/>
    <x v="28"/>
    <x v="0"/>
    <x v="6"/>
    <s v="A"/>
    <x v="1"/>
    <x v="52"/>
    <n v="77"/>
    <x v="5"/>
    <s v="F"/>
    <s v="Pass"/>
  </r>
  <r>
    <x v="186"/>
    <x v="83"/>
    <x v="1"/>
    <x v="2"/>
    <s v="A"/>
    <x v="0"/>
    <x v="60"/>
    <n v="80"/>
    <x v="1"/>
    <s v="F"/>
    <s v="Pass"/>
  </r>
  <r>
    <x v="187"/>
    <x v="57"/>
    <x v="1"/>
    <x v="4"/>
    <s v="B"/>
    <x v="2"/>
    <x v="29"/>
    <n v="88"/>
    <x v="6"/>
    <s v="B"/>
    <s v="Pass"/>
  </r>
  <r>
    <x v="188"/>
    <x v="58"/>
    <x v="0"/>
    <x v="5"/>
    <s v="A"/>
    <x v="3"/>
    <x v="50"/>
    <n v="79"/>
    <x v="5"/>
    <s v="B"/>
    <s v="Pass"/>
  </r>
  <r>
    <x v="189"/>
    <x v="47"/>
    <x v="1"/>
    <x v="2"/>
    <s v="B"/>
    <x v="3"/>
    <x v="9"/>
    <n v="80"/>
    <x v="5"/>
    <s v="A+"/>
    <s v="Pass"/>
  </r>
  <r>
    <x v="190"/>
    <x v="25"/>
    <x v="0"/>
    <x v="1"/>
    <s v="C"/>
    <x v="5"/>
    <x v="52"/>
    <n v="60"/>
    <x v="5"/>
    <s v="F"/>
    <s v="Pass"/>
  </r>
  <r>
    <x v="191"/>
    <x v="77"/>
    <x v="0"/>
    <x v="2"/>
    <s v="A"/>
    <x v="2"/>
    <x v="59"/>
    <n v="87"/>
    <x v="4"/>
    <s v="F"/>
    <s v="Pass"/>
  </r>
  <r>
    <x v="192"/>
    <x v="46"/>
    <x v="0"/>
    <x v="6"/>
    <s v="B"/>
    <x v="3"/>
    <x v="5"/>
    <n v="60"/>
    <x v="5"/>
    <s v="F"/>
    <s v="Pass"/>
  </r>
  <r>
    <x v="193"/>
    <x v="48"/>
    <x v="1"/>
    <x v="6"/>
    <s v="B"/>
    <x v="3"/>
    <x v="45"/>
    <n v="87"/>
    <x v="6"/>
    <s v="A"/>
    <s v="Pass"/>
  </r>
  <r>
    <x v="194"/>
    <x v="50"/>
    <x v="1"/>
    <x v="5"/>
    <s v="A"/>
    <x v="3"/>
    <x v="59"/>
    <n v="97"/>
    <x v="6"/>
    <s v="F"/>
    <s v="Pass"/>
  </r>
  <r>
    <x v="195"/>
    <x v="49"/>
    <x v="0"/>
    <x v="6"/>
    <s v="C"/>
    <x v="4"/>
    <x v="30"/>
    <n v="81"/>
    <x v="4"/>
    <s v="F"/>
    <s v="Pass"/>
  </r>
  <r>
    <x v="196"/>
    <x v="71"/>
    <x v="1"/>
    <x v="1"/>
    <s v="A"/>
    <x v="2"/>
    <x v="8"/>
    <n v="79"/>
    <x v="5"/>
    <s v="A"/>
    <s v="Pass"/>
  </r>
  <r>
    <x v="197"/>
    <x v="83"/>
    <x v="1"/>
    <x v="0"/>
    <s v="C"/>
    <x v="2"/>
    <x v="43"/>
    <n v="74"/>
    <x v="3"/>
    <s v="A"/>
    <s v="Pass"/>
  </r>
  <r>
    <x v="198"/>
    <x v="22"/>
    <x v="1"/>
    <x v="1"/>
    <s v="B"/>
    <x v="4"/>
    <x v="49"/>
    <n v="99"/>
    <x v="2"/>
    <s v="B"/>
    <s v="Pass"/>
  </r>
  <r>
    <x v="199"/>
    <x v="10"/>
    <x v="0"/>
    <x v="4"/>
    <s v="A"/>
    <x v="3"/>
    <x v="57"/>
    <n v="73"/>
    <x v="0"/>
    <s v="A+"/>
    <s v="Pass"/>
  </r>
  <r>
    <x v="200"/>
    <x v="63"/>
    <x v="1"/>
    <x v="1"/>
    <s v="C"/>
    <x v="0"/>
    <x v="60"/>
    <n v="83"/>
    <x v="0"/>
    <s v="F"/>
    <s v="Pass"/>
  </r>
  <r>
    <x v="201"/>
    <x v="82"/>
    <x v="0"/>
    <x v="3"/>
    <s v="A"/>
    <x v="0"/>
    <x v="52"/>
    <n v="77"/>
    <x v="0"/>
    <s v="F"/>
    <s v="Pass"/>
  </r>
  <r>
    <x v="202"/>
    <x v="45"/>
    <x v="0"/>
    <x v="6"/>
    <s v="C"/>
    <x v="5"/>
    <x v="28"/>
    <n v="80"/>
    <x v="5"/>
    <s v="B"/>
    <s v="Pass"/>
  </r>
  <r>
    <x v="203"/>
    <x v="69"/>
    <x v="0"/>
    <x v="0"/>
    <s v="A"/>
    <x v="4"/>
    <x v="54"/>
    <n v="67"/>
    <x v="1"/>
    <s v="C"/>
    <s v="Pass"/>
  </r>
  <r>
    <x v="204"/>
    <x v="84"/>
    <x v="0"/>
    <x v="1"/>
    <s v="B"/>
    <x v="0"/>
    <x v="22"/>
    <n v="85"/>
    <x v="2"/>
    <s v="A+"/>
    <s v="Pass"/>
  </r>
  <r>
    <x v="205"/>
    <x v="48"/>
    <x v="1"/>
    <x v="1"/>
    <s v="A"/>
    <x v="3"/>
    <x v="61"/>
    <n v="96"/>
    <x v="3"/>
    <s v="F"/>
    <s v="Pass"/>
  </r>
  <r>
    <x v="206"/>
    <x v="43"/>
    <x v="0"/>
    <x v="1"/>
    <s v="C"/>
    <x v="0"/>
    <x v="48"/>
    <n v="84"/>
    <x v="1"/>
    <s v="C"/>
    <s v="Pass"/>
  </r>
  <r>
    <x v="207"/>
    <x v="18"/>
    <x v="0"/>
    <x v="3"/>
    <s v="C"/>
    <x v="2"/>
    <x v="53"/>
    <n v="80"/>
    <x v="3"/>
    <s v="C"/>
    <s v="Pass"/>
  </r>
  <r>
    <x v="208"/>
    <x v="2"/>
    <x v="1"/>
    <x v="6"/>
    <s v="A"/>
    <x v="4"/>
    <x v="17"/>
    <n v="96"/>
    <x v="1"/>
    <s v="A"/>
    <s v="Pass"/>
  </r>
  <r>
    <x v="209"/>
    <x v="11"/>
    <x v="0"/>
    <x v="1"/>
    <s v="B"/>
    <x v="2"/>
    <x v="62"/>
    <n v="73"/>
    <x v="2"/>
    <s v="F"/>
    <s v="Pass"/>
  </r>
  <r>
    <x v="210"/>
    <x v="50"/>
    <x v="1"/>
    <x v="5"/>
    <s v="C"/>
    <x v="0"/>
    <x v="36"/>
    <n v="75"/>
    <x v="4"/>
    <s v="C"/>
    <s v="Pass"/>
  </r>
  <r>
    <x v="211"/>
    <x v="24"/>
    <x v="1"/>
    <x v="0"/>
    <s v="A"/>
    <x v="4"/>
    <x v="55"/>
    <n v="96"/>
    <x v="6"/>
    <s v="F"/>
    <s v="Pass"/>
  </r>
  <r>
    <x v="212"/>
    <x v="36"/>
    <x v="0"/>
    <x v="5"/>
    <s v="A"/>
    <x v="4"/>
    <x v="43"/>
    <n v="69"/>
    <x v="4"/>
    <s v="A"/>
    <s v="Pass"/>
  </r>
  <r>
    <x v="213"/>
    <x v="13"/>
    <x v="0"/>
    <x v="6"/>
    <s v="A"/>
    <x v="0"/>
    <x v="45"/>
    <n v="77"/>
    <x v="4"/>
    <s v="A"/>
    <s v="Pass"/>
  </r>
  <r>
    <x v="214"/>
    <x v="18"/>
    <x v="0"/>
    <x v="0"/>
    <s v="A"/>
    <x v="2"/>
    <x v="49"/>
    <n v="99"/>
    <x v="3"/>
    <s v="B"/>
    <s v="Pass"/>
  </r>
  <r>
    <x v="215"/>
    <x v="63"/>
    <x v="1"/>
    <x v="2"/>
    <s v="B"/>
    <x v="5"/>
    <x v="5"/>
    <n v="77"/>
    <x v="2"/>
    <s v="F"/>
    <s v="Pass"/>
  </r>
  <r>
    <x v="216"/>
    <x v="58"/>
    <x v="0"/>
    <x v="2"/>
    <s v="B"/>
    <x v="2"/>
    <x v="60"/>
    <n v="64"/>
    <x v="3"/>
    <s v="F"/>
    <s v="Pass"/>
  </r>
  <r>
    <x v="217"/>
    <x v="61"/>
    <x v="0"/>
    <x v="0"/>
    <s v="A"/>
    <x v="5"/>
    <x v="2"/>
    <n v="81"/>
    <x v="2"/>
    <s v="C"/>
    <s v="Pass"/>
  </r>
  <r>
    <x v="218"/>
    <x v="78"/>
    <x v="1"/>
    <x v="4"/>
    <s v="B"/>
    <x v="2"/>
    <x v="58"/>
    <n v="75"/>
    <x v="4"/>
    <s v="C"/>
    <s v="Pass"/>
  </r>
  <r>
    <x v="219"/>
    <x v="53"/>
    <x v="1"/>
    <x v="5"/>
    <s v="B"/>
    <x v="2"/>
    <x v="29"/>
    <n v="100"/>
    <x v="5"/>
    <s v="B"/>
    <s v="Pass"/>
  </r>
  <r>
    <x v="220"/>
    <x v="68"/>
    <x v="0"/>
    <x v="3"/>
    <s v="A"/>
    <x v="0"/>
    <x v="7"/>
    <n v="60"/>
    <x v="1"/>
    <s v="F"/>
    <s v="Pass"/>
  </r>
  <r>
    <x v="221"/>
    <x v="28"/>
    <x v="1"/>
    <x v="2"/>
    <s v="B"/>
    <x v="4"/>
    <x v="13"/>
    <n v="66"/>
    <x v="4"/>
    <s v="F"/>
    <s v="Pass"/>
  </r>
  <r>
    <x v="222"/>
    <x v="42"/>
    <x v="0"/>
    <x v="3"/>
    <s v="A"/>
    <x v="1"/>
    <x v="63"/>
    <n v="63"/>
    <x v="3"/>
    <s v="A"/>
    <s v="Pass"/>
  </r>
  <r>
    <x v="223"/>
    <x v="14"/>
    <x v="0"/>
    <x v="5"/>
    <s v="B"/>
    <x v="1"/>
    <x v="12"/>
    <n v="67"/>
    <x v="5"/>
    <s v="A+"/>
    <s v="Pass"/>
  </r>
  <r>
    <x v="224"/>
    <x v="65"/>
    <x v="0"/>
    <x v="2"/>
    <s v="C"/>
    <x v="4"/>
    <x v="62"/>
    <n v="100"/>
    <x v="6"/>
    <s v="F"/>
    <s v="Pass"/>
  </r>
  <r>
    <x v="225"/>
    <x v="38"/>
    <x v="0"/>
    <x v="5"/>
    <s v="B"/>
    <x v="2"/>
    <x v="46"/>
    <n v="82"/>
    <x v="1"/>
    <s v="A+"/>
    <s v="Pass"/>
  </r>
  <r>
    <x v="226"/>
    <x v="50"/>
    <x v="1"/>
    <x v="0"/>
    <s v="B"/>
    <x v="0"/>
    <x v="60"/>
    <n v="61"/>
    <x v="6"/>
    <s v="F"/>
    <s v="Pass"/>
  </r>
  <r>
    <x v="227"/>
    <x v="62"/>
    <x v="1"/>
    <x v="2"/>
    <s v="A"/>
    <x v="2"/>
    <x v="1"/>
    <n v="62"/>
    <x v="4"/>
    <s v="A+"/>
    <s v="Pass"/>
  </r>
  <r>
    <x v="228"/>
    <x v="60"/>
    <x v="0"/>
    <x v="6"/>
    <s v="C"/>
    <x v="0"/>
    <x v="43"/>
    <n v="96"/>
    <x v="6"/>
    <s v="A"/>
    <s v="Pass"/>
  </r>
  <r>
    <x v="229"/>
    <x v="47"/>
    <x v="0"/>
    <x v="5"/>
    <s v="A"/>
    <x v="1"/>
    <x v="46"/>
    <n v="78"/>
    <x v="0"/>
    <s v="A+"/>
    <s v="Pass"/>
  </r>
  <r>
    <x v="230"/>
    <x v="78"/>
    <x v="0"/>
    <x v="3"/>
    <s v="A"/>
    <x v="2"/>
    <x v="64"/>
    <n v="85"/>
    <x v="4"/>
    <s v="C"/>
    <s v="Pass"/>
  </r>
  <r>
    <x v="231"/>
    <x v="34"/>
    <x v="0"/>
    <x v="4"/>
    <s v="C"/>
    <x v="3"/>
    <x v="33"/>
    <n v="100"/>
    <x v="0"/>
    <s v="B"/>
    <s v="Pass"/>
  </r>
  <r>
    <x v="232"/>
    <x v="25"/>
    <x v="0"/>
    <x v="3"/>
    <s v="A"/>
    <x v="5"/>
    <x v="19"/>
    <n v="86"/>
    <x v="6"/>
    <s v="F"/>
    <s v="Pass"/>
  </r>
  <r>
    <x v="233"/>
    <x v="69"/>
    <x v="1"/>
    <x v="5"/>
    <s v="B"/>
    <x v="5"/>
    <x v="41"/>
    <n v="96"/>
    <x v="4"/>
    <s v="F"/>
    <s v="Pass"/>
  </r>
  <r>
    <x v="234"/>
    <x v="61"/>
    <x v="1"/>
    <x v="5"/>
    <s v="C"/>
    <x v="5"/>
    <x v="28"/>
    <n v="82"/>
    <x v="4"/>
    <s v="B"/>
    <s v="Pass"/>
  </r>
  <r>
    <x v="235"/>
    <x v="60"/>
    <x v="1"/>
    <x v="0"/>
    <s v="B"/>
    <x v="2"/>
    <x v="11"/>
    <n v="92"/>
    <x v="4"/>
    <s v="F"/>
    <s v="Pass"/>
  </r>
  <r>
    <x v="236"/>
    <x v="30"/>
    <x v="1"/>
    <x v="6"/>
    <s v="C"/>
    <x v="3"/>
    <x v="37"/>
    <n v="67"/>
    <x v="0"/>
    <s v="F"/>
    <s v="Pass"/>
  </r>
  <r>
    <x v="237"/>
    <x v="3"/>
    <x v="0"/>
    <x v="1"/>
    <s v="A"/>
    <x v="3"/>
    <x v="51"/>
    <n v="87"/>
    <x v="6"/>
    <s v="A+"/>
    <s v="Pass"/>
  </r>
  <r>
    <x v="238"/>
    <x v="84"/>
    <x v="1"/>
    <x v="5"/>
    <s v="A"/>
    <x v="3"/>
    <x v="5"/>
    <n v="72"/>
    <x v="3"/>
    <s v="F"/>
    <s v="Pass"/>
  </r>
  <r>
    <x v="239"/>
    <x v="65"/>
    <x v="1"/>
    <x v="3"/>
    <s v="C"/>
    <x v="1"/>
    <x v="43"/>
    <n v="85"/>
    <x v="2"/>
    <s v="A"/>
    <s v="Pass"/>
  </r>
  <r>
    <x v="240"/>
    <x v="5"/>
    <x v="0"/>
    <x v="6"/>
    <s v="A"/>
    <x v="2"/>
    <x v="7"/>
    <n v="98"/>
    <x v="3"/>
    <s v="F"/>
    <s v="Pass"/>
  </r>
  <r>
    <x v="241"/>
    <x v="2"/>
    <x v="0"/>
    <x v="0"/>
    <s v="A"/>
    <x v="1"/>
    <x v="27"/>
    <n v="85"/>
    <x v="2"/>
    <s v="B"/>
    <s v="Pass"/>
  </r>
  <r>
    <x v="242"/>
    <x v="51"/>
    <x v="1"/>
    <x v="5"/>
    <s v="A"/>
    <x v="2"/>
    <x v="40"/>
    <n v="64"/>
    <x v="4"/>
    <s v="F"/>
    <s v="Pass"/>
  </r>
  <r>
    <x v="243"/>
    <x v="47"/>
    <x v="0"/>
    <x v="5"/>
    <s v="B"/>
    <x v="3"/>
    <x v="22"/>
    <n v="90"/>
    <x v="3"/>
    <s v="A+"/>
    <s v="Pass"/>
  </r>
  <r>
    <x v="244"/>
    <x v="53"/>
    <x v="0"/>
    <x v="6"/>
    <s v="C"/>
    <x v="4"/>
    <x v="41"/>
    <n v="79"/>
    <x v="1"/>
    <s v="F"/>
    <s v="Pass"/>
  </r>
  <r>
    <x v="245"/>
    <x v="32"/>
    <x v="0"/>
    <x v="0"/>
    <s v="C"/>
    <x v="1"/>
    <x v="3"/>
    <n v="91"/>
    <x v="6"/>
    <s v="B"/>
    <s v="Pass"/>
  </r>
  <r>
    <x v="246"/>
    <x v="30"/>
    <x v="1"/>
    <x v="2"/>
    <s v="A"/>
    <x v="0"/>
    <x v="28"/>
    <n v="74"/>
    <x v="5"/>
    <s v="B"/>
    <s v="Pass"/>
  </r>
  <r>
    <x v="247"/>
    <x v="20"/>
    <x v="1"/>
    <x v="1"/>
    <s v="B"/>
    <x v="4"/>
    <x v="20"/>
    <n v="81"/>
    <x v="4"/>
    <s v="B"/>
    <s v="Pass"/>
  </r>
  <r>
    <x v="248"/>
    <x v="56"/>
    <x v="1"/>
    <x v="0"/>
    <s v="A"/>
    <x v="2"/>
    <x v="44"/>
    <n v="83"/>
    <x v="5"/>
    <s v="F"/>
    <s v="Pass"/>
  </r>
  <r>
    <x v="249"/>
    <x v="58"/>
    <x v="0"/>
    <x v="6"/>
    <s v="B"/>
    <x v="1"/>
    <x v="13"/>
    <n v="86"/>
    <x v="3"/>
    <s v="F"/>
    <s v="Pass"/>
  </r>
  <r>
    <x v="250"/>
    <x v="75"/>
    <x v="1"/>
    <x v="0"/>
    <s v="C"/>
    <x v="1"/>
    <x v="21"/>
    <n v="91"/>
    <x v="1"/>
    <s v="A+"/>
    <s v="Pass"/>
  </r>
  <r>
    <x v="251"/>
    <x v="2"/>
    <x v="0"/>
    <x v="1"/>
    <s v="B"/>
    <x v="5"/>
    <x v="14"/>
    <n v="87"/>
    <x v="6"/>
    <s v="C"/>
    <s v="Pass"/>
  </r>
  <r>
    <x v="252"/>
    <x v="40"/>
    <x v="0"/>
    <x v="0"/>
    <s v="A"/>
    <x v="2"/>
    <x v="59"/>
    <n v="64"/>
    <x v="3"/>
    <s v="F"/>
    <s v="Pass"/>
  </r>
  <r>
    <x v="253"/>
    <x v="44"/>
    <x v="1"/>
    <x v="3"/>
    <s v="B"/>
    <x v="1"/>
    <x v="8"/>
    <n v="95"/>
    <x v="0"/>
    <s v="A"/>
    <s v="Pass"/>
  </r>
  <r>
    <x v="254"/>
    <x v="5"/>
    <x v="1"/>
    <x v="1"/>
    <s v="B"/>
    <x v="5"/>
    <x v="17"/>
    <n v="80"/>
    <x v="6"/>
    <s v="A"/>
    <s v="Pass"/>
  </r>
  <r>
    <x v="255"/>
    <x v="2"/>
    <x v="0"/>
    <x v="3"/>
    <s v="A"/>
    <x v="2"/>
    <x v="31"/>
    <n v="82"/>
    <x v="4"/>
    <s v="A"/>
    <s v="Pass"/>
  </r>
  <r>
    <x v="256"/>
    <x v="72"/>
    <x v="0"/>
    <x v="2"/>
    <s v="B"/>
    <x v="5"/>
    <x v="43"/>
    <n v="92"/>
    <x v="2"/>
    <s v="A"/>
    <s v="Pass"/>
  </r>
  <r>
    <x v="257"/>
    <x v="85"/>
    <x v="1"/>
    <x v="1"/>
    <s v="A"/>
    <x v="1"/>
    <x v="39"/>
    <n v="69"/>
    <x v="1"/>
    <s v="A"/>
    <s v="Pass"/>
  </r>
  <r>
    <x v="258"/>
    <x v="40"/>
    <x v="1"/>
    <x v="2"/>
    <s v="C"/>
    <x v="0"/>
    <x v="11"/>
    <n v="99"/>
    <x v="6"/>
    <s v="F"/>
    <s v="Pass"/>
  </r>
  <r>
    <x v="259"/>
    <x v="32"/>
    <x v="0"/>
    <x v="3"/>
    <s v="B"/>
    <x v="5"/>
    <x v="30"/>
    <n v="95"/>
    <x v="5"/>
    <s v="F"/>
    <s v="Pass"/>
  </r>
  <r>
    <x v="260"/>
    <x v="37"/>
    <x v="1"/>
    <x v="3"/>
    <s v="A"/>
    <x v="4"/>
    <x v="54"/>
    <n v="77"/>
    <x v="6"/>
    <s v="C"/>
    <s v="Pass"/>
  </r>
  <r>
    <x v="261"/>
    <x v="56"/>
    <x v="0"/>
    <x v="2"/>
    <s v="C"/>
    <x v="2"/>
    <x v="17"/>
    <n v="68"/>
    <x v="4"/>
    <s v="A"/>
    <s v="Pass"/>
  </r>
  <r>
    <x v="262"/>
    <x v="29"/>
    <x v="1"/>
    <x v="3"/>
    <s v="A"/>
    <x v="1"/>
    <x v="63"/>
    <n v="86"/>
    <x v="4"/>
    <s v="A"/>
    <s v="Pass"/>
  </r>
  <r>
    <x v="263"/>
    <x v="48"/>
    <x v="1"/>
    <x v="5"/>
    <s v="A"/>
    <x v="3"/>
    <x v="25"/>
    <n v="73"/>
    <x v="4"/>
    <s v="F"/>
    <s v="Pass"/>
  </r>
  <r>
    <x v="264"/>
    <x v="40"/>
    <x v="1"/>
    <x v="3"/>
    <s v="A"/>
    <x v="5"/>
    <x v="49"/>
    <n v="75"/>
    <x v="3"/>
    <s v="B"/>
    <s v="Pass"/>
  </r>
  <r>
    <x v="265"/>
    <x v="57"/>
    <x v="0"/>
    <x v="6"/>
    <s v="B"/>
    <x v="4"/>
    <x v="36"/>
    <n v="96"/>
    <x v="4"/>
    <s v="C"/>
    <s v="Pass"/>
  </r>
  <r>
    <x v="266"/>
    <x v="86"/>
    <x v="1"/>
    <x v="3"/>
    <s v="C"/>
    <x v="2"/>
    <x v="21"/>
    <n v="97"/>
    <x v="5"/>
    <s v="A+"/>
    <s v="Pass"/>
  </r>
  <r>
    <x v="267"/>
    <x v="57"/>
    <x v="0"/>
    <x v="5"/>
    <s v="C"/>
    <x v="1"/>
    <x v="57"/>
    <n v="67"/>
    <x v="0"/>
    <s v="A+"/>
    <s v="Pass"/>
  </r>
  <r>
    <x v="268"/>
    <x v="87"/>
    <x v="0"/>
    <x v="4"/>
    <s v="C"/>
    <x v="0"/>
    <x v="15"/>
    <n v="100"/>
    <x v="0"/>
    <s v="F"/>
    <s v="Pass"/>
  </r>
  <r>
    <x v="269"/>
    <x v="80"/>
    <x v="1"/>
    <x v="5"/>
    <s v="A"/>
    <x v="2"/>
    <x v="29"/>
    <n v="91"/>
    <x v="2"/>
    <s v="B"/>
    <s v="Pass"/>
  </r>
  <r>
    <x v="270"/>
    <x v="17"/>
    <x v="0"/>
    <x v="6"/>
    <s v="B"/>
    <x v="2"/>
    <x v="57"/>
    <n v="86"/>
    <x v="3"/>
    <s v="A+"/>
    <s v="Pass"/>
  </r>
  <r>
    <x v="271"/>
    <x v="49"/>
    <x v="1"/>
    <x v="5"/>
    <s v="B"/>
    <x v="3"/>
    <x v="9"/>
    <n v="90"/>
    <x v="2"/>
    <s v="A+"/>
    <s v="Pass"/>
  </r>
  <r>
    <x v="272"/>
    <x v="7"/>
    <x v="1"/>
    <x v="6"/>
    <s v="C"/>
    <x v="1"/>
    <x v="18"/>
    <n v="77"/>
    <x v="3"/>
    <s v="A"/>
    <s v="Pass"/>
  </r>
  <r>
    <x v="273"/>
    <x v="23"/>
    <x v="0"/>
    <x v="5"/>
    <s v="A"/>
    <x v="3"/>
    <x v="62"/>
    <n v="84"/>
    <x v="4"/>
    <s v="F"/>
    <s v="Pass"/>
  </r>
  <r>
    <x v="274"/>
    <x v="33"/>
    <x v="0"/>
    <x v="2"/>
    <s v="B"/>
    <x v="4"/>
    <x v="55"/>
    <n v="90"/>
    <x v="0"/>
    <s v="F"/>
    <s v="Pass"/>
  </r>
  <r>
    <x v="275"/>
    <x v="2"/>
    <x v="0"/>
    <x v="6"/>
    <s v="B"/>
    <x v="3"/>
    <x v="56"/>
    <n v="85"/>
    <x v="3"/>
    <s v="F"/>
    <s v="Pass"/>
  </r>
  <r>
    <x v="276"/>
    <x v="51"/>
    <x v="1"/>
    <x v="3"/>
    <s v="B"/>
    <x v="1"/>
    <x v="39"/>
    <n v="76"/>
    <x v="1"/>
    <s v="A"/>
    <s v="Pass"/>
  </r>
  <r>
    <x v="277"/>
    <x v="86"/>
    <x v="0"/>
    <x v="1"/>
    <s v="A"/>
    <x v="1"/>
    <x v="46"/>
    <n v="93"/>
    <x v="3"/>
    <s v="A+"/>
    <s v="Pass"/>
  </r>
  <r>
    <x v="278"/>
    <x v="11"/>
    <x v="1"/>
    <x v="5"/>
    <s v="B"/>
    <x v="3"/>
    <x v="50"/>
    <n v="83"/>
    <x v="5"/>
    <s v="B"/>
    <s v="Pass"/>
  </r>
  <r>
    <x v="279"/>
    <x v="88"/>
    <x v="1"/>
    <x v="2"/>
    <s v="A"/>
    <x v="0"/>
    <x v="64"/>
    <n v="60"/>
    <x v="6"/>
    <s v="C"/>
    <s v="Pass"/>
  </r>
  <r>
    <x v="280"/>
    <x v="4"/>
    <x v="1"/>
    <x v="2"/>
    <s v="A"/>
    <x v="1"/>
    <x v="41"/>
    <n v="66"/>
    <x v="4"/>
    <s v="F"/>
    <s v="Pass"/>
  </r>
  <r>
    <x v="281"/>
    <x v="71"/>
    <x v="1"/>
    <x v="3"/>
    <s v="B"/>
    <x v="0"/>
    <x v="52"/>
    <n v="61"/>
    <x v="3"/>
    <s v="F"/>
    <s v="Pass"/>
  </r>
  <r>
    <x v="282"/>
    <x v="31"/>
    <x v="0"/>
    <x v="1"/>
    <s v="A"/>
    <x v="3"/>
    <x v="9"/>
    <n v="60"/>
    <x v="2"/>
    <s v="A+"/>
    <s v="Pass"/>
  </r>
  <r>
    <x v="283"/>
    <x v="21"/>
    <x v="1"/>
    <x v="2"/>
    <s v="C"/>
    <x v="1"/>
    <x v="62"/>
    <n v="87"/>
    <x v="4"/>
    <s v="F"/>
    <s v="Pass"/>
  </r>
  <r>
    <x v="284"/>
    <x v="89"/>
    <x v="0"/>
    <x v="4"/>
    <s v="C"/>
    <x v="2"/>
    <x v="52"/>
    <n v="69"/>
    <x v="1"/>
    <s v="F"/>
    <s v="Pass"/>
  </r>
  <r>
    <x v="285"/>
    <x v="62"/>
    <x v="1"/>
    <x v="0"/>
    <s v="B"/>
    <x v="4"/>
    <x v="50"/>
    <n v="71"/>
    <x v="4"/>
    <s v="B"/>
    <s v="Pass"/>
  </r>
  <r>
    <x v="286"/>
    <x v="13"/>
    <x v="0"/>
    <x v="4"/>
    <s v="B"/>
    <x v="2"/>
    <x v="57"/>
    <n v="96"/>
    <x v="5"/>
    <s v="A+"/>
    <s v="Pass"/>
  </r>
  <r>
    <x v="287"/>
    <x v="14"/>
    <x v="1"/>
    <x v="0"/>
    <s v="C"/>
    <x v="2"/>
    <x v="16"/>
    <n v="76"/>
    <x v="6"/>
    <s v="C"/>
    <s v="Pass"/>
  </r>
  <r>
    <x v="288"/>
    <x v="85"/>
    <x v="0"/>
    <x v="4"/>
    <s v="C"/>
    <x v="5"/>
    <x v="31"/>
    <n v="72"/>
    <x v="1"/>
    <s v="A"/>
    <s v="Pass"/>
  </r>
  <r>
    <x v="289"/>
    <x v="68"/>
    <x v="0"/>
    <x v="6"/>
    <s v="C"/>
    <x v="5"/>
    <x v="17"/>
    <n v="91"/>
    <x v="1"/>
    <s v="A"/>
    <s v="Pass"/>
  </r>
  <r>
    <x v="290"/>
    <x v="3"/>
    <x v="1"/>
    <x v="3"/>
    <s v="C"/>
    <x v="1"/>
    <x v="59"/>
    <n v="72"/>
    <x v="2"/>
    <s v="F"/>
    <s v="Pass"/>
  </r>
  <r>
    <x v="291"/>
    <x v="20"/>
    <x v="0"/>
    <x v="4"/>
    <s v="C"/>
    <x v="3"/>
    <x v="28"/>
    <n v="77"/>
    <x v="1"/>
    <s v="B"/>
    <s v="Pass"/>
  </r>
  <r>
    <x v="292"/>
    <x v="52"/>
    <x v="1"/>
    <x v="6"/>
    <s v="C"/>
    <x v="0"/>
    <x v="34"/>
    <n v="91"/>
    <x v="2"/>
    <s v="F"/>
    <s v="Pass"/>
  </r>
  <r>
    <x v="293"/>
    <x v="32"/>
    <x v="0"/>
    <x v="3"/>
    <s v="B"/>
    <x v="1"/>
    <x v="6"/>
    <n v="94"/>
    <x v="2"/>
    <s v="B"/>
    <s v="Pass"/>
  </r>
  <r>
    <x v="294"/>
    <x v="70"/>
    <x v="1"/>
    <x v="0"/>
    <s v="A"/>
    <x v="2"/>
    <x v="24"/>
    <n v="68"/>
    <x v="3"/>
    <s v="F"/>
    <s v="Pass"/>
  </r>
  <r>
    <x v="295"/>
    <x v="42"/>
    <x v="1"/>
    <x v="4"/>
    <s v="A"/>
    <x v="0"/>
    <x v="2"/>
    <n v="90"/>
    <x v="3"/>
    <s v="C"/>
    <s v="Pass"/>
  </r>
  <r>
    <x v="296"/>
    <x v="78"/>
    <x v="1"/>
    <x v="3"/>
    <s v="C"/>
    <x v="5"/>
    <x v="7"/>
    <n v="72"/>
    <x v="4"/>
    <s v="F"/>
    <s v="Pass"/>
  </r>
  <r>
    <x v="297"/>
    <x v="27"/>
    <x v="0"/>
    <x v="6"/>
    <s v="C"/>
    <x v="0"/>
    <x v="55"/>
    <n v="97"/>
    <x v="2"/>
    <s v="F"/>
    <s v="Pass"/>
  </r>
  <r>
    <x v="298"/>
    <x v="6"/>
    <x v="0"/>
    <x v="4"/>
    <s v="A"/>
    <x v="1"/>
    <x v="44"/>
    <n v="78"/>
    <x v="2"/>
    <s v="F"/>
    <s v="Pass"/>
  </r>
  <r>
    <x v="299"/>
    <x v="65"/>
    <x v="0"/>
    <x v="3"/>
    <s v="B"/>
    <x v="5"/>
    <x v="33"/>
    <n v="79"/>
    <x v="3"/>
    <s v="B"/>
    <s v="Pass"/>
  </r>
  <r>
    <x v="300"/>
    <x v="63"/>
    <x v="0"/>
    <x v="6"/>
    <s v="B"/>
    <x v="4"/>
    <x v="21"/>
    <n v="75"/>
    <x v="4"/>
    <s v="A+"/>
    <s v="Pass"/>
  </r>
  <r>
    <x v="301"/>
    <x v="58"/>
    <x v="1"/>
    <x v="6"/>
    <s v="A"/>
    <x v="3"/>
    <x v="30"/>
    <n v="86"/>
    <x v="2"/>
    <s v="F"/>
    <s v="Pass"/>
  </r>
  <r>
    <x v="302"/>
    <x v="62"/>
    <x v="0"/>
    <x v="0"/>
    <s v="C"/>
    <x v="0"/>
    <x v="46"/>
    <n v="81"/>
    <x v="1"/>
    <s v="A+"/>
    <s v="Pass"/>
  </r>
  <r>
    <x v="303"/>
    <x v="44"/>
    <x v="0"/>
    <x v="4"/>
    <s v="A"/>
    <x v="3"/>
    <x v="64"/>
    <n v="62"/>
    <x v="3"/>
    <s v="C"/>
    <s v="Pass"/>
  </r>
  <r>
    <x v="304"/>
    <x v="54"/>
    <x v="1"/>
    <x v="4"/>
    <s v="A"/>
    <x v="3"/>
    <x v="28"/>
    <n v="83"/>
    <x v="1"/>
    <s v="B"/>
    <s v="Pass"/>
  </r>
  <r>
    <x v="305"/>
    <x v="90"/>
    <x v="1"/>
    <x v="0"/>
    <s v="A"/>
    <x v="3"/>
    <x v="33"/>
    <n v="69"/>
    <x v="3"/>
    <s v="B"/>
    <s v="Pass"/>
  </r>
  <r>
    <x v="306"/>
    <x v="56"/>
    <x v="1"/>
    <x v="0"/>
    <s v="C"/>
    <x v="2"/>
    <x v="45"/>
    <n v="79"/>
    <x v="0"/>
    <s v="A"/>
    <s v="Pass"/>
  </r>
  <r>
    <x v="307"/>
    <x v="13"/>
    <x v="0"/>
    <x v="3"/>
    <s v="B"/>
    <x v="4"/>
    <x v="63"/>
    <n v="81"/>
    <x v="6"/>
    <s v="A"/>
    <s v="Pass"/>
  </r>
  <r>
    <x v="308"/>
    <x v="11"/>
    <x v="1"/>
    <x v="2"/>
    <s v="C"/>
    <x v="2"/>
    <x v="63"/>
    <n v="68"/>
    <x v="0"/>
    <s v="A"/>
    <s v="Pass"/>
  </r>
  <r>
    <x v="309"/>
    <x v="60"/>
    <x v="0"/>
    <x v="5"/>
    <s v="B"/>
    <x v="4"/>
    <x v="52"/>
    <n v="87"/>
    <x v="5"/>
    <s v="F"/>
    <s v="Pass"/>
  </r>
  <r>
    <x v="310"/>
    <x v="76"/>
    <x v="0"/>
    <x v="6"/>
    <s v="C"/>
    <x v="4"/>
    <x v="57"/>
    <n v="68"/>
    <x v="6"/>
    <s v="A+"/>
    <s v="Pass"/>
  </r>
  <r>
    <x v="311"/>
    <x v="42"/>
    <x v="1"/>
    <x v="2"/>
    <s v="C"/>
    <x v="5"/>
    <x v="0"/>
    <n v="70"/>
    <x v="0"/>
    <s v="F"/>
    <s v="Pass"/>
  </r>
  <r>
    <x v="312"/>
    <x v="74"/>
    <x v="0"/>
    <x v="5"/>
    <s v="C"/>
    <x v="5"/>
    <x v="16"/>
    <n v="95"/>
    <x v="2"/>
    <s v="C"/>
    <s v="Pass"/>
  </r>
  <r>
    <x v="313"/>
    <x v="91"/>
    <x v="0"/>
    <x v="2"/>
    <s v="A"/>
    <x v="1"/>
    <x v="28"/>
    <n v="81"/>
    <x v="4"/>
    <s v="B"/>
    <s v="Pass"/>
  </r>
  <r>
    <x v="314"/>
    <x v="69"/>
    <x v="0"/>
    <x v="6"/>
    <s v="B"/>
    <x v="5"/>
    <x v="25"/>
    <n v="98"/>
    <x v="6"/>
    <s v="F"/>
    <s v="Pass"/>
  </r>
  <r>
    <x v="315"/>
    <x v="86"/>
    <x v="1"/>
    <x v="5"/>
    <s v="A"/>
    <x v="5"/>
    <x v="35"/>
    <n v="84"/>
    <x v="6"/>
    <s v="B"/>
    <s v="Pass"/>
  </r>
  <r>
    <x v="316"/>
    <x v="69"/>
    <x v="0"/>
    <x v="5"/>
    <s v="C"/>
    <x v="4"/>
    <x v="45"/>
    <n v="91"/>
    <x v="0"/>
    <s v="A"/>
    <s v="Pass"/>
  </r>
  <r>
    <x v="317"/>
    <x v="21"/>
    <x v="1"/>
    <x v="3"/>
    <s v="B"/>
    <x v="3"/>
    <x v="2"/>
    <n v="78"/>
    <x v="2"/>
    <s v="C"/>
    <s v="Pass"/>
  </r>
  <r>
    <x v="318"/>
    <x v="84"/>
    <x v="1"/>
    <x v="3"/>
    <s v="A"/>
    <x v="2"/>
    <x v="47"/>
    <n v="72"/>
    <x v="2"/>
    <s v="A"/>
    <s v="Pass"/>
  </r>
  <r>
    <x v="319"/>
    <x v="73"/>
    <x v="0"/>
    <x v="5"/>
    <s v="C"/>
    <x v="0"/>
    <x v="1"/>
    <n v="75"/>
    <x v="4"/>
    <s v="A+"/>
    <s v="Pass"/>
  </r>
  <r>
    <x v="320"/>
    <x v="91"/>
    <x v="0"/>
    <x v="3"/>
    <s v="C"/>
    <x v="4"/>
    <x v="34"/>
    <n v="77"/>
    <x v="4"/>
    <s v="F"/>
    <s v="Pass"/>
  </r>
  <r>
    <x v="321"/>
    <x v="68"/>
    <x v="1"/>
    <x v="2"/>
    <s v="C"/>
    <x v="1"/>
    <x v="21"/>
    <n v="87"/>
    <x v="2"/>
    <s v="A+"/>
    <s v="Pass"/>
  </r>
  <r>
    <x v="322"/>
    <x v="34"/>
    <x v="1"/>
    <x v="0"/>
    <s v="B"/>
    <x v="1"/>
    <x v="26"/>
    <n v="70"/>
    <x v="5"/>
    <s v="F"/>
    <s v="Pass"/>
  </r>
  <r>
    <x v="323"/>
    <x v="82"/>
    <x v="0"/>
    <x v="4"/>
    <s v="A"/>
    <x v="4"/>
    <x v="10"/>
    <n v="88"/>
    <x v="5"/>
    <s v="A+"/>
    <s v="Pass"/>
  </r>
  <r>
    <x v="324"/>
    <x v="6"/>
    <x v="0"/>
    <x v="0"/>
    <s v="A"/>
    <x v="3"/>
    <x v="49"/>
    <n v="75"/>
    <x v="5"/>
    <s v="B"/>
    <s v="Pass"/>
  </r>
  <r>
    <x v="325"/>
    <x v="62"/>
    <x v="1"/>
    <x v="5"/>
    <s v="C"/>
    <x v="4"/>
    <x v="17"/>
    <n v="89"/>
    <x v="0"/>
    <s v="A"/>
    <s v="Pass"/>
  </r>
  <r>
    <x v="326"/>
    <x v="54"/>
    <x v="0"/>
    <x v="1"/>
    <s v="C"/>
    <x v="3"/>
    <x v="52"/>
    <n v="100"/>
    <x v="4"/>
    <s v="F"/>
    <s v="Pass"/>
  </r>
  <r>
    <x v="327"/>
    <x v="45"/>
    <x v="1"/>
    <x v="4"/>
    <s v="A"/>
    <x v="5"/>
    <x v="54"/>
    <n v="80"/>
    <x v="6"/>
    <s v="C"/>
    <s v="Pass"/>
  </r>
  <r>
    <x v="328"/>
    <x v="92"/>
    <x v="1"/>
    <x v="5"/>
    <s v="A"/>
    <x v="4"/>
    <x v="25"/>
    <n v="91"/>
    <x v="3"/>
    <s v="F"/>
    <s v="Pass"/>
  </r>
  <r>
    <x v="329"/>
    <x v="9"/>
    <x v="0"/>
    <x v="2"/>
    <s v="A"/>
    <x v="3"/>
    <x v="49"/>
    <n v="91"/>
    <x v="6"/>
    <s v="B"/>
    <s v="Pass"/>
  </r>
  <r>
    <x v="330"/>
    <x v="38"/>
    <x v="1"/>
    <x v="1"/>
    <s v="C"/>
    <x v="5"/>
    <x v="47"/>
    <n v="92"/>
    <x v="5"/>
    <s v="A"/>
    <s v="Pass"/>
  </r>
  <r>
    <x v="331"/>
    <x v="93"/>
    <x v="0"/>
    <x v="0"/>
    <s v="B"/>
    <x v="0"/>
    <x v="62"/>
    <n v="87"/>
    <x v="4"/>
    <s v="F"/>
    <s v="Pass"/>
  </r>
  <r>
    <x v="332"/>
    <x v="91"/>
    <x v="1"/>
    <x v="4"/>
    <s v="A"/>
    <x v="2"/>
    <x v="17"/>
    <n v="60"/>
    <x v="5"/>
    <s v="A"/>
    <s v="Pass"/>
  </r>
  <r>
    <x v="333"/>
    <x v="94"/>
    <x v="0"/>
    <x v="0"/>
    <s v="A"/>
    <x v="3"/>
    <x v="45"/>
    <n v="73"/>
    <x v="1"/>
    <s v="A"/>
    <s v="Pass"/>
  </r>
  <r>
    <x v="334"/>
    <x v="95"/>
    <x v="1"/>
    <x v="5"/>
    <s v="A"/>
    <x v="3"/>
    <x v="13"/>
    <n v="69"/>
    <x v="1"/>
    <s v="F"/>
    <s v="Pass"/>
  </r>
  <r>
    <x v="335"/>
    <x v="91"/>
    <x v="1"/>
    <x v="2"/>
    <s v="B"/>
    <x v="4"/>
    <x v="64"/>
    <n v="89"/>
    <x v="5"/>
    <s v="C"/>
    <s v="Pass"/>
  </r>
  <r>
    <x v="336"/>
    <x v="15"/>
    <x v="0"/>
    <x v="3"/>
    <s v="C"/>
    <x v="4"/>
    <x v="10"/>
    <n v="94"/>
    <x v="1"/>
    <s v="A+"/>
    <s v="Pass"/>
  </r>
  <r>
    <x v="337"/>
    <x v="36"/>
    <x v="0"/>
    <x v="4"/>
    <s v="A"/>
    <x v="4"/>
    <x v="26"/>
    <n v="78"/>
    <x v="2"/>
    <s v="F"/>
    <s v="Pass"/>
  </r>
  <r>
    <x v="338"/>
    <x v="16"/>
    <x v="1"/>
    <x v="1"/>
    <s v="A"/>
    <x v="1"/>
    <x v="35"/>
    <n v="74"/>
    <x v="2"/>
    <s v="B"/>
    <s v="Pass"/>
  </r>
  <r>
    <x v="339"/>
    <x v="17"/>
    <x v="1"/>
    <x v="1"/>
    <s v="B"/>
    <x v="1"/>
    <x v="6"/>
    <n v="93"/>
    <x v="4"/>
    <s v="B"/>
    <s v="Pass"/>
  </r>
  <r>
    <x v="340"/>
    <x v="94"/>
    <x v="0"/>
    <x v="2"/>
    <s v="C"/>
    <x v="1"/>
    <x v="31"/>
    <n v="76"/>
    <x v="1"/>
    <s v="A"/>
    <s v="Pass"/>
  </r>
  <r>
    <x v="341"/>
    <x v="55"/>
    <x v="1"/>
    <x v="0"/>
    <s v="A"/>
    <x v="4"/>
    <x v="65"/>
    <n v="98"/>
    <x v="6"/>
    <s v="F"/>
    <s v="Pass"/>
  </r>
  <r>
    <x v="342"/>
    <x v="74"/>
    <x v="0"/>
    <x v="4"/>
    <s v="A"/>
    <x v="5"/>
    <x v="30"/>
    <n v="78"/>
    <x v="0"/>
    <s v="F"/>
    <s v="Pass"/>
  </r>
  <r>
    <x v="343"/>
    <x v="74"/>
    <x v="1"/>
    <x v="1"/>
    <s v="B"/>
    <x v="1"/>
    <x v="15"/>
    <n v="71"/>
    <x v="3"/>
    <s v="F"/>
    <s v="Pass"/>
  </r>
  <r>
    <x v="344"/>
    <x v="28"/>
    <x v="1"/>
    <x v="5"/>
    <s v="A"/>
    <x v="1"/>
    <x v="3"/>
    <n v="85"/>
    <x v="5"/>
    <s v="B"/>
    <s v="Pass"/>
  </r>
  <r>
    <x v="345"/>
    <x v="5"/>
    <x v="0"/>
    <x v="1"/>
    <s v="C"/>
    <x v="2"/>
    <x v="4"/>
    <n v="62"/>
    <x v="6"/>
    <s v="F"/>
    <s v="Pass"/>
  </r>
  <r>
    <x v="346"/>
    <x v="66"/>
    <x v="1"/>
    <x v="0"/>
    <s v="C"/>
    <x v="1"/>
    <x v="41"/>
    <n v="99"/>
    <x v="6"/>
    <s v="F"/>
    <s v="Pass"/>
  </r>
  <r>
    <x v="347"/>
    <x v="53"/>
    <x v="1"/>
    <x v="1"/>
    <s v="A"/>
    <x v="4"/>
    <x v="34"/>
    <n v="93"/>
    <x v="0"/>
    <s v="F"/>
    <s v="Pass"/>
  </r>
  <r>
    <x v="348"/>
    <x v="8"/>
    <x v="0"/>
    <x v="1"/>
    <s v="A"/>
    <x v="4"/>
    <x v="59"/>
    <n v="73"/>
    <x v="1"/>
    <s v="F"/>
    <s v="Pass"/>
  </r>
  <r>
    <x v="349"/>
    <x v="55"/>
    <x v="0"/>
    <x v="3"/>
    <s v="B"/>
    <x v="5"/>
    <x v="3"/>
    <n v="83"/>
    <x v="6"/>
    <s v="B"/>
    <s v="Pass"/>
  </r>
  <r>
    <x v="350"/>
    <x v="8"/>
    <x v="1"/>
    <x v="1"/>
    <s v="B"/>
    <x v="2"/>
    <x v="40"/>
    <n v="86"/>
    <x v="0"/>
    <s v="F"/>
    <s v="Pass"/>
  </r>
  <r>
    <x v="351"/>
    <x v="19"/>
    <x v="0"/>
    <x v="1"/>
    <s v="C"/>
    <x v="2"/>
    <x v="16"/>
    <n v="85"/>
    <x v="0"/>
    <s v="C"/>
    <s v="Pass"/>
  </r>
  <r>
    <x v="352"/>
    <x v="35"/>
    <x v="0"/>
    <x v="2"/>
    <s v="B"/>
    <x v="0"/>
    <x v="20"/>
    <n v="91"/>
    <x v="0"/>
    <s v="B"/>
    <s v="Pass"/>
  </r>
  <r>
    <x v="353"/>
    <x v="88"/>
    <x v="1"/>
    <x v="1"/>
    <s v="B"/>
    <x v="3"/>
    <x v="41"/>
    <n v="82"/>
    <x v="6"/>
    <s v="F"/>
    <s v="Pass"/>
  </r>
  <r>
    <x v="354"/>
    <x v="88"/>
    <x v="0"/>
    <x v="3"/>
    <s v="C"/>
    <x v="2"/>
    <x v="45"/>
    <n v="72"/>
    <x v="1"/>
    <s v="A"/>
    <s v="Pass"/>
  </r>
  <r>
    <x v="355"/>
    <x v="36"/>
    <x v="1"/>
    <x v="2"/>
    <s v="C"/>
    <x v="4"/>
    <x v="21"/>
    <n v="66"/>
    <x v="1"/>
    <s v="A+"/>
    <s v="Pass"/>
  </r>
  <r>
    <x v="356"/>
    <x v="32"/>
    <x v="0"/>
    <x v="5"/>
    <s v="A"/>
    <x v="1"/>
    <x v="65"/>
    <n v="83"/>
    <x v="2"/>
    <s v="F"/>
    <s v="Pass"/>
  </r>
  <r>
    <x v="357"/>
    <x v="75"/>
    <x v="0"/>
    <x v="2"/>
    <s v="C"/>
    <x v="2"/>
    <x v="28"/>
    <n v="61"/>
    <x v="1"/>
    <s v="B"/>
    <s v="Pass"/>
  </r>
  <r>
    <x v="358"/>
    <x v="85"/>
    <x v="0"/>
    <x v="1"/>
    <s v="A"/>
    <x v="0"/>
    <x v="16"/>
    <n v="87"/>
    <x v="3"/>
    <s v="C"/>
    <s v="Pass"/>
  </r>
  <r>
    <x v="359"/>
    <x v="14"/>
    <x v="0"/>
    <x v="5"/>
    <s v="B"/>
    <x v="5"/>
    <x v="32"/>
    <n v="87"/>
    <x v="2"/>
    <s v="A+"/>
    <s v="Pass"/>
  </r>
  <r>
    <x v="360"/>
    <x v="72"/>
    <x v="0"/>
    <x v="0"/>
    <s v="B"/>
    <x v="2"/>
    <x v="33"/>
    <n v="68"/>
    <x v="2"/>
    <s v="B"/>
    <s v="Pass"/>
  </r>
  <r>
    <x v="361"/>
    <x v="11"/>
    <x v="1"/>
    <x v="2"/>
    <s v="B"/>
    <x v="3"/>
    <x v="24"/>
    <n v="80"/>
    <x v="0"/>
    <s v="F"/>
    <s v="Pass"/>
  </r>
  <r>
    <x v="362"/>
    <x v="45"/>
    <x v="1"/>
    <x v="6"/>
    <s v="B"/>
    <x v="5"/>
    <x v="37"/>
    <n v="83"/>
    <x v="3"/>
    <s v="F"/>
    <s v="Pass"/>
  </r>
  <r>
    <x v="363"/>
    <x v="63"/>
    <x v="1"/>
    <x v="2"/>
    <s v="A"/>
    <x v="5"/>
    <x v="3"/>
    <n v="65"/>
    <x v="0"/>
    <s v="B"/>
    <s v="Pass"/>
  </r>
  <r>
    <x v="364"/>
    <x v="57"/>
    <x v="1"/>
    <x v="4"/>
    <s v="B"/>
    <x v="0"/>
    <x v="43"/>
    <n v="77"/>
    <x v="4"/>
    <s v="A"/>
    <s v="Pass"/>
  </r>
  <r>
    <x v="365"/>
    <x v="85"/>
    <x v="0"/>
    <x v="0"/>
    <s v="A"/>
    <x v="1"/>
    <x v="33"/>
    <n v="76"/>
    <x v="3"/>
    <s v="B"/>
    <s v="Pass"/>
  </r>
  <r>
    <x v="366"/>
    <x v="95"/>
    <x v="1"/>
    <x v="0"/>
    <s v="B"/>
    <x v="1"/>
    <x v="63"/>
    <n v="97"/>
    <x v="1"/>
    <s v="A"/>
    <s v="Pass"/>
  </r>
  <r>
    <x v="367"/>
    <x v="85"/>
    <x v="1"/>
    <x v="0"/>
    <s v="A"/>
    <x v="1"/>
    <x v="47"/>
    <n v="89"/>
    <x v="2"/>
    <s v="A"/>
    <s v="Pass"/>
  </r>
  <r>
    <x v="368"/>
    <x v="18"/>
    <x v="0"/>
    <x v="6"/>
    <s v="A"/>
    <x v="5"/>
    <x v="60"/>
    <n v="91"/>
    <x v="0"/>
    <s v="F"/>
    <s v="Pass"/>
  </r>
  <r>
    <x v="369"/>
    <x v="45"/>
    <x v="1"/>
    <x v="2"/>
    <s v="B"/>
    <x v="1"/>
    <x v="5"/>
    <n v="60"/>
    <x v="6"/>
    <s v="F"/>
    <s v="Pass"/>
  </r>
  <r>
    <x v="370"/>
    <x v="42"/>
    <x v="1"/>
    <x v="3"/>
    <s v="B"/>
    <x v="5"/>
    <x v="8"/>
    <n v="73"/>
    <x v="4"/>
    <s v="A"/>
    <s v="Pass"/>
  </r>
  <r>
    <x v="371"/>
    <x v="50"/>
    <x v="0"/>
    <x v="4"/>
    <s v="B"/>
    <x v="5"/>
    <x v="26"/>
    <n v="83"/>
    <x v="0"/>
    <s v="F"/>
    <s v="Pass"/>
  </r>
  <r>
    <x v="372"/>
    <x v="93"/>
    <x v="1"/>
    <x v="3"/>
    <s v="C"/>
    <x v="2"/>
    <x v="53"/>
    <n v="65"/>
    <x v="2"/>
    <s v="C"/>
    <s v="Pass"/>
  </r>
  <r>
    <x v="373"/>
    <x v="39"/>
    <x v="1"/>
    <x v="0"/>
    <s v="C"/>
    <x v="3"/>
    <x v="29"/>
    <n v="98"/>
    <x v="4"/>
    <s v="B"/>
    <s v="Pass"/>
  </r>
  <r>
    <x v="374"/>
    <x v="41"/>
    <x v="0"/>
    <x v="3"/>
    <s v="B"/>
    <x v="2"/>
    <x v="5"/>
    <n v="68"/>
    <x v="1"/>
    <s v="F"/>
    <s v="Pass"/>
  </r>
  <r>
    <x v="375"/>
    <x v="22"/>
    <x v="1"/>
    <x v="2"/>
    <s v="C"/>
    <x v="0"/>
    <x v="31"/>
    <n v="72"/>
    <x v="2"/>
    <s v="A"/>
    <s v="Pass"/>
  </r>
  <r>
    <x v="376"/>
    <x v="4"/>
    <x v="1"/>
    <x v="5"/>
    <s v="B"/>
    <x v="2"/>
    <x v="18"/>
    <n v="95"/>
    <x v="3"/>
    <s v="A"/>
    <s v="Pass"/>
  </r>
  <r>
    <x v="377"/>
    <x v="51"/>
    <x v="1"/>
    <x v="5"/>
    <s v="B"/>
    <x v="5"/>
    <x v="58"/>
    <n v="67"/>
    <x v="5"/>
    <s v="C"/>
    <s v="Pass"/>
  </r>
  <r>
    <x v="378"/>
    <x v="13"/>
    <x v="1"/>
    <x v="6"/>
    <s v="C"/>
    <x v="5"/>
    <x v="58"/>
    <n v="83"/>
    <x v="2"/>
    <s v="C"/>
    <s v="Pass"/>
  </r>
  <r>
    <x v="379"/>
    <x v="52"/>
    <x v="1"/>
    <x v="2"/>
    <s v="B"/>
    <x v="5"/>
    <x v="4"/>
    <n v="99"/>
    <x v="4"/>
    <s v="F"/>
    <s v="Pass"/>
  </r>
  <r>
    <x v="380"/>
    <x v="61"/>
    <x v="0"/>
    <x v="0"/>
    <s v="B"/>
    <x v="3"/>
    <x v="13"/>
    <n v="81"/>
    <x v="0"/>
    <s v="F"/>
    <s v="Pass"/>
  </r>
  <r>
    <x v="381"/>
    <x v="77"/>
    <x v="1"/>
    <x v="5"/>
    <s v="A"/>
    <x v="0"/>
    <x v="56"/>
    <n v="95"/>
    <x v="6"/>
    <s v="F"/>
    <s v="Pass"/>
  </r>
  <r>
    <x v="382"/>
    <x v="79"/>
    <x v="0"/>
    <x v="4"/>
    <s v="C"/>
    <x v="5"/>
    <x v="12"/>
    <n v="83"/>
    <x v="0"/>
    <s v="A+"/>
    <s v="Pass"/>
  </r>
  <r>
    <x v="383"/>
    <x v="87"/>
    <x v="1"/>
    <x v="4"/>
    <s v="A"/>
    <x v="2"/>
    <x v="40"/>
    <n v="84"/>
    <x v="4"/>
    <s v="F"/>
    <s v="Pass"/>
  </r>
  <r>
    <x v="384"/>
    <x v="16"/>
    <x v="1"/>
    <x v="0"/>
    <s v="C"/>
    <x v="3"/>
    <x v="18"/>
    <n v="75"/>
    <x v="2"/>
    <s v="A"/>
    <s v="Pass"/>
  </r>
  <r>
    <x v="385"/>
    <x v="66"/>
    <x v="1"/>
    <x v="4"/>
    <s v="B"/>
    <x v="5"/>
    <x v="53"/>
    <n v="84"/>
    <x v="6"/>
    <s v="C"/>
    <s v="Pass"/>
  </r>
  <r>
    <x v="386"/>
    <x v="51"/>
    <x v="1"/>
    <x v="6"/>
    <s v="C"/>
    <x v="1"/>
    <x v="3"/>
    <n v="74"/>
    <x v="1"/>
    <s v="B"/>
    <s v="Pass"/>
  </r>
  <r>
    <x v="387"/>
    <x v="35"/>
    <x v="0"/>
    <x v="2"/>
    <s v="C"/>
    <x v="3"/>
    <x v="11"/>
    <n v="89"/>
    <x v="2"/>
    <s v="F"/>
    <s v="Pass"/>
  </r>
  <r>
    <x v="388"/>
    <x v="7"/>
    <x v="0"/>
    <x v="4"/>
    <s v="C"/>
    <x v="5"/>
    <x v="4"/>
    <n v="64"/>
    <x v="1"/>
    <s v="F"/>
    <s v="Pass"/>
  </r>
  <r>
    <x v="389"/>
    <x v="68"/>
    <x v="1"/>
    <x v="1"/>
    <s v="C"/>
    <x v="4"/>
    <x v="33"/>
    <n v="86"/>
    <x v="2"/>
    <s v="B"/>
    <s v="Pass"/>
  </r>
  <r>
    <x v="390"/>
    <x v="0"/>
    <x v="1"/>
    <x v="5"/>
    <s v="B"/>
    <x v="3"/>
    <x v="14"/>
    <n v="81"/>
    <x v="2"/>
    <s v="C"/>
    <s v="Pass"/>
  </r>
  <r>
    <x v="391"/>
    <x v="4"/>
    <x v="0"/>
    <x v="1"/>
    <s v="C"/>
    <x v="4"/>
    <x v="17"/>
    <n v="69"/>
    <x v="0"/>
    <s v="A"/>
    <s v="Pass"/>
  </r>
  <r>
    <x v="392"/>
    <x v="53"/>
    <x v="0"/>
    <x v="5"/>
    <s v="A"/>
    <x v="5"/>
    <x v="20"/>
    <n v="82"/>
    <x v="0"/>
    <s v="B"/>
    <s v="Pass"/>
  </r>
  <r>
    <x v="393"/>
    <x v="1"/>
    <x v="0"/>
    <x v="5"/>
    <s v="A"/>
    <x v="3"/>
    <x v="16"/>
    <n v="92"/>
    <x v="6"/>
    <s v="C"/>
    <s v="Pass"/>
  </r>
  <r>
    <x v="394"/>
    <x v="56"/>
    <x v="1"/>
    <x v="0"/>
    <s v="C"/>
    <x v="1"/>
    <x v="1"/>
    <n v="77"/>
    <x v="0"/>
    <s v="A+"/>
    <s v="Pass"/>
  </r>
  <r>
    <x v="395"/>
    <x v="52"/>
    <x v="0"/>
    <x v="3"/>
    <s v="C"/>
    <x v="4"/>
    <x v="6"/>
    <n v="99"/>
    <x v="2"/>
    <s v="B"/>
    <s v="Pass"/>
  </r>
  <r>
    <x v="396"/>
    <x v="78"/>
    <x v="1"/>
    <x v="5"/>
    <s v="A"/>
    <x v="4"/>
    <x v="29"/>
    <n v="85"/>
    <x v="5"/>
    <s v="B"/>
    <s v="Pass"/>
  </r>
  <r>
    <x v="397"/>
    <x v="47"/>
    <x v="0"/>
    <x v="3"/>
    <s v="A"/>
    <x v="1"/>
    <x v="58"/>
    <n v="81"/>
    <x v="2"/>
    <s v="C"/>
    <s v="Pass"/>
  </r>
  <r>
    <x v="398"/>
    <x v="90"/>
    <x v="1"/>
    <x v="6"/>
    <s v="B"/>
    <x v="0"/>
    <x v="36"/>
    <n v="77"/>
    <x v="1"/>
    <s v="C"/>
    <s v="Pass"/>
  </r>
  <r>
    <x v="399"/>
    <x v="2"/>
    <x v="1"/>
    <x v="4"/>
    <s v="C"/>
    <x v="5"/>
    <x v="12"/>
    <n v="68"/>
    <x v="4"/>
    <s v="A+"/>
    <s v="Pass"/>
  </r>
  <r>
    <x v="400"/>
    <x v="70"/>
    <x v="1"/>
    <x v="4"/>
    <s v="B"/>
    <x v="0"/>
    <x v="29"/>
    <n v="95"/>
    <x v="5"/>
    <s v="B"/>
    <s v="Pass"/>
  </r>
  <r>
    <x v="401"/>
    <x v="51"/>
    <x v="0"/>
    <x v="0"/>
    <s v="A"/>
    <x v="1"/>
    <x v="16"/>
    <n v="75"/>
    <x v="6"/>
    <s v="C"/>
    <s v="Pass"/>
  </r>
  <r>
    <x v="402"/>
    <x v="53"/>
    <x v="1"/>
    <x v="1"/>
    <s v="B"/>
    <x v="4"/>
    <x v="50"/>
    <n v="88"/>
    <x v="2"/>
    <s v="B"/>
    <s v="Pass"/>
  </r>
  <r>
    <x v="403"/>
    <x v="4"/>
    <x v="0"/>
    <x v="4"/>
    <s v="A"/>
    <x v="3"/>
    <x v="46"/>
    <n v="62"/>
    <x v="4"/>
    <s v="A+"/>
    <s v="Pass"/>
  </r>
  <r>
    <x v="404"/>
    <x v="61"/>
    <x v="1"/>
    <x v="0"/>
    <s v="B"/>
    <x v="0"/>
    <x v="18"/>
    <n v="82"/>
    <x v="6"/>
    <s v="A"/>
    <s v="Pass"/>
  </r>
  <r>
    <x v="405"/>
    <x v="80"/>
    <x v="0"/>
    <x v="0"/>
    <s v="A"/>
    <x v="3"/>
    <x v="8"/>
    <n v="74"/>
    <x v="6"/>
    <s v="A"/>
    <s v="Pass"/>
  </r>
  <r>
    <x v="406"/>
    <x v="79"/>
    <x v="0"/>
    <x v="6"/>
    <s v="A"/>
    <x v="3"/>
    <x v="18"/>
    <n v="73"/>
    <x v="2"/>
    <s v="A"/>
    <s v="Pass"/>
  </r>
  <r>
    <x v="407"/>
    <x v="73"/>
    <x v="1"/>
    <x v="3"/>
    <s v="A"/>
    <x v="1"/>
    <x v="17"/>
    <n v="82"/>
    <x v="4"/>
    <s v="A"/>
    <s v="Pass"/>
  </r>
  <r>
    <x v="408"/>
    <x v="31"/>
    <x v="1"/>
    <x v="3"/>
    <s v="B"/>
    <x v="3"/>
    <x v="65"/>
    <n v="87"/>
    <x v="0"/>
    <s v="F"/>
    <s v="Pass"/>
  </r>
  <r>
    <x v="409"/>
    <x v="83"/>
    <x v="1"/>
    <x v="1"/>
    <s v="B"/>
    <x v="5"/>
    <x v="41"/>
    <n v="62"/>
    <x v="4"/>
    <s v="F"/>
    <s v="Pass"/>
  </r>
  <r>
    <x v="410"/>
    <x v="58"/>
    <x v="1"/>
    <x v="4"/>
    <s v="B"/>
    <x v="0"/>
    <x v="64"/>
    <n v="73"/>
    <x v="6"/>
    <s v="C"/>
    <s v="Pass"/>
  </r>
  <r>
    <x v="411"/>
    <x v="91"/>
    <x v="1"/>
    <x v="6"/>
    <s v="B"/>
    <x v="0"/>
    <x v="59"/>
    <n v="95"/>
    <x v="2"/>
    <s v="F"/>
    <s v="Pass"/>
  </r>
  <r>
    <x v="412"/>
    <x v="48"/>
    <x v="0"/>
    <x v="6"/>
    <s v="B"/>
    <x v="1"/>
    <x v="20"/>
    <n v="80"/>
    <x v="6"/>
    <s v="B"/>
    <s v="Pass"/>
  </r>
  <r>
    <x v="413"/>
    <x v="70"/>
    <x v="0"/>
    <x v="1"/>
    <s v="C"/>
    <x v="1"/>
    <x v="3"/>
    <n v="67"/>
    <x v="3"/>
    <s v="B"/>
    <s v="Pass"/>
  </r>
  <r>
    <x v="414"/>
    <x v="72"/>
    <x v="0"/>
    <x v="4"/>
    <s v="A"/>
    <x v="3"/>
    <x v="45"/>
    <n v="79"/>
    <x v="2"/>
    <s v="A"/>
    <s v="Pass"/>
  </r>
  <r>
    <x v="415"/>
    <x v="14"/>
    <x v="1"/>
    <x v="0"/>
    <s v="B"/>
    <x v="3"/>
    <x v="11"/>
    <n v="81"/>
    <x v="1"/>
    <s v="F"/>
    <s v="Pass"/>
  </r>
  <r>
    <x v="416"/>
    <x v="57"/>
    <x v="1"/>
    <x v="3"/>
    <s v="B"/>
    <x v="1"/>
    <x v="32"/>
    <n v="89"/>
    <x v="1"/>
    <s v="A+"/>
    <s v="Pass"/>
  </r>
  <r>
    <x v="417"/>
    <x v="66"/>
    <x v="1"/>
    <x v="2"/>
    <s v="A"/>
    <x v="5"/>
    <x v="39"/>
    <n v="76"/>
    <x v="6"/>
    <s v="A"/>
    <s v="Pass"/>
  </r>
  <r>
    <x v="418"/>
    <x v="29"/>
    <x v="0"/>
    <x v="6"/>
    <s v="A"/>
    <x v="1"/>
    <x v="8"/>
    <n v="96"/>
    <x v="3"/>
    <s v="A"/>
    <s v="Pass"/>
  </r>
  <r>
    <x v="419"/>
    <x v="32"/>
    <x v="0"/>
    <x v="0"/>
    <s v="A"/>
    <x v="5"/>
    <x v="29"/>
    <n v="82"/>
    <x v="2"/>
    <s v="B"/>
    <s v="Pass"/>
  </r>
  <r>
    <x v="420"/>
    <x v="90"/>
    <x v="0"/>
    <x v="2"/>
    <s v="A"/>
    <x v="3"/>
    <x v="21"/>
    <n v="62"/>
    <x v="3"/>
    <s v="A+"/>
    <s v="Pass"/>
  </r>
  <r>
    <x v="421"/>
    <x v="65"/>
    <x v="1"/>
    <x v="5"/>
    <s v="B"/>
    <x v="2"/>
    <x v="49"/>
    <n v="88"/>
    <x v="1"/>
    <s v="B"/>
    <s v="Pass"/>
  </r>
  <r>
    <x v="422"/>
    <x v="69"/>
    <x v="1"/>
    <x v="3"/>
    <s v="A"/>
    <x v="3"/>
    <x v="29"/>
    <n v="89"/>
    <x v="2"/>
    <s v="B"/>
    <s v="Pass"/>
  </r>
  <r>
    <x v="423"/>
    <x v="8"/>
    <x v="1"/>
    <x v="6"/>
    <s v="C"/>
    <x v="2"/>
    <x v="51"/>
    <n v="62"/>
    <x v="6"/>
    <s v="A+"/>
    <s v="Pass"/>
  </r>
  <r>
    <x v="424"/>
    <x v="13"/>
    <x v="1"/>
    <x v="2"/>
    <s v="A"/>
    <x v="1"/>
    <x v="9"/>
    <n v="67"/>
    <x v="0"/>
    <s v="A+"/>
    <s v="Pass"/>
  </r>
  <r>
    <x v="425"/>
    <x v="27"/>
    <x v="1"/>
    <x v="5"/>
    <s v="B"/>
    <x v="3"/>
    <x v="48"/>
    <n v="89"/>
    <x v="3"/>
    <s v="C"/>
    <s v="Pass"/>
  </r>
  <r>
    <x v="426"/>
    <x v="12"/>
    <x v="0"/>
    <x v="3"/>
    <s v="C"/>
    <x v="4"/>
    <x v="29"/>
    <n v="83"/>
    <x v="3"/>
    <s v="B"/>
    <s v="Pass"/>
  </r>
  <r>
    <x v="427"/>
    <x v="3"/>
    <x v="0"/>
    <x v="4"/>
    <s v="B"/>
    <x v="4"/>
    <x v="60"/>
    <n v="95"/>
    <x v="1"/>
    <s v="F"/>
    <s v="Pass"/>
  </r>
  <r>
    <x v="428"/>
    <x v="85"/>
    <x v="1"/>
    <x v="2"/>
    <s v="B"/>
    <x v="5"/>
    <x v="23"/>
    <n v="71"/>
    <x v="2"/>
    <s v="A"/>
    <s v="Pass"/>
  </r>
  <r>
    <x v="429"/>
    <x v="20"/>
    <x v="1"/>
    <x v="2"/>
    <s v="A"/>
    <x v="0"/>
    <x v="31"/>
    <n v="96"/>
    <x v="4"/>
    <s v="A"/>
    <s v="Pass"/>
  </r>
  <r>
    <x v="430"/>
    <x v="29"/>
    <x v="0"/>
    <x v="0"/>
    <s v="C"/>
    <x v="4"/>
    <x v="31"/>
    <n v="88"/>
    <x v="3"/>
    <s v="A"/>
    <s v="Pass"/>
  </r>
  <r>
    <x v="431"/>
    <x v="66"/>
    <x v="1"/>
    <x v="5"/>
    <s v="B"/>
    <x v="3"/>
    <x v="41"/>
    <n v="65"/>
    <x v="6"/>
    <s v="F"/>
    <s v="Pass"/>
  </r>
  <r>
    <x v="432"/>
    <x v="77"/>
    <x v="0"/>
    <x v="3"/>
    <s v="B"/>
    <x v="4"/>
    <x v="0"/>
    <n v="89"/>
    <x v="1"/>
    <s v="F"/>
    <s v="Pass"/>
  </r>
  <r>
    <x v="433"/>
    <x v="52"/>
    <x v="0"/>
    <x v="6"/>
    <s v="C"/>
    <x v="5"/>
    <x v="41"/>
    <n v="93"/>
    <x v="3"/>
    <s v="F"/>
    <s v="Pass"/>
  </r>
  <r>
    <x v="434"/>
    <x v="66"/>
    <x v="0"/>
    <x v="5"/>
    <s v="B"/>
    <x v="3"/>
    <x v="18"/>
    <n v="86"/>
    <x v="4"/>
    <s v="A"/>
    <s v="Pass"/>
  </r>
  <r>
    <x v="435"/>
    <x v="65"/>
    <x v="1"/>
    <x v="5"/>
    <s v="C"/>
    <x v="0"/>
    <x v="23"/>
    <n v="91"/>
    <x v="5"/>
    <s v="A"/>
    <s v="Pass"/>
  </r>
  <r>
    <x v="436"/>
    <x v="81"/>
    <x v="1"/>
    <x v="5"/>
    <s v="B"/>
    <x v="3"/>
    <x v="52"/>
    <n v="100"/>
    <x v="1"/>
    <s v="F"/>
    <s v="Pass"/>
  </r>
  <r>
    <x v="437"/>
    <x v="83"/>
    <x v="0"/>
    <x v="5"/>
    <s v="A"/>
    <x v="0"/>
    <x v="32"/>
    <n v="92"/>
    <x v="5"/>
    <s v="A+"/>
    <s v="Pass"/>
  </r>
  <r>
    <x v="438"/>
    <x v="59"/>
    <x v="0"/>
    <x v="1"/>
    <s v="A"/>
    <x v="3"/>
    <x v="0"/>
    <n v="60"/>
    <x v="5"/>
    <s v="F"/>
    <s v="Pass"/>
  </r>
  <r>
    <x v="439"/>
    <x v="49"/>
    <x v="1"/>
    <x v="2"/>
    <s v="C"/>
    <x v="1"/>
    <x v="11"/>
    <n v="77"/>
    <x v="1"/>
    <s v="F"/>
    <s v="Pass"/>
  </r>
  <r>
    <x v="440"/>
    <x v="81"/>
    <x v="1"/>
    <x v="1"/>
    <s v="A"/>
    <x v="4"/>
    <x v="8"/>
    <n v="94"/>
    <x v="1"/>
    <s v="A"/>
    <s v="Pass"/>
  </r>
  <r>
    <x v="441"/>
    <x v="29"/>
    <x v="1"/>
    <x v="2"/>
    <s v="B"/>
    <x v="0"/>
    <x v="31"/>
    <n v="78"/>
    <x v="6"/>
    <s v="A"/>
    <s v="Pass"/>
  </r>
  <r>
    <x v="442"/>
    <x v="1"/>
    <x v="0"/>
    <x v="2"/>
    <s v="C"/>
    <x v="2"/>
    <x v="52"/>
    <n v="98"/>
    <x v="0"/>
    <s v="F"/>
    <s v="Pass"/>
  </r>
  <r>
    <x v="443"/>
    <x v="58"/>
    <x v="1"/>
    <x v="6"/>
    <s v="A"/>
    <x v="5"/>
    <x v="58"/>
    <n v="90"/>
    <x v="4"/>
    <s v="C"/>
    <s v="Pass"/>
  </r>
  <r>
    <x v="444"/>
    <x v="64"/>
    <x v="1"/>
    <x v="4"/>
    <s v="A"/>
    <x v="3"/>
    <x v="16"/>
    <n v="82"/>
    <x v="6"/>
    <s v="C"/>
    <s v="Pass"/>
  </r>
  <r>
    <x v="445"/>
    <x v="68"/>
    <x v="1"/>
    <x v="4"/>
    <s v="C"/>
    <x v="1"/>
    <x v="18"/>
    <n v="90"/>
    <x v="0"/>
    <s v="A"/>
    <s v="Pass"/>
  </r>
  <r>
    <x v="446"/>
    <x v="81"/>
    <x v="1"/>
    <x v="5"/>
    <s v="A"/>
    <x v="1"/>
    <x v="43"/>
    <n v="60"/>
    <x v="1"/>
    <s v="A"/>
    <s v="Pass"/>
  </r>
  <r>
    <x v="447"/>
    <x v="32"/>
    <x v="1"/>
    <x v="4"/>
    <s v="B"/>
    <x v="4"/>
    <x v="41"/>
    <n v="91"/>
    <x v="1"/>
    <s v="F"/>
    <s v="Pass"/>
  </r>
  <r>
    <x v="448"/>
    <x v="89"/>
    <x v="1"/>
    <x v="4"/>
    <s v="B"/>
    <x v="1"/>
    <x v="30"/>
    <n v="99"/>
    <x v="4"/>
    <s v="F"/>
    <s v="Pass"/>
  </r>
  <r>
    <x v="449"/>
    <x v="71"/>
    <x v="0"/>
    <x v="0"/>
    <s v="B"/>
    <x v="2"/>
    <x v="20"/>
    <n v="80"/>
    <x v="0"/>
    <s v="B"/>
    <s v="Pass"/>
  </r>
  <r>
    <x v="450"/>
    <x v="27"/>
    <x v="1"/>
    <x v="2"/>
    <s v="A"/>
    <x v="5"/>
    <x v="14"/>
    <n v="81"/>
    <x v="3"/>
    <s v="C"/>
    <s v="Pass"/>
  </r>
  <r>
    <x v="451"/>
    <x v="60"/>
    <x v="1"/>
    <x v="1"/>
    <s v="C"/>
    <x v="4"/>
    <x v="43"/>
    <n v="90"/>
    <x v="4"/>
    <s v="A"/>
    <s v="Pass"/>
  </r>
  <r>
    <x v="452"/>
    <x v="64"/>
    <x v="1"/>
    <x v="0"/>
    <s v="A"/>
    <x v="0"/>
    <x v="14"/>
    <n v="74"/>
    <x v="5"/>
    <s v="C"/>
    <s v="Pass"/>
  </r>
  <r>
    <x v="453"/>
    <x v="45"/>
    <x v="1"/>
    <x v="0"/>
    <s v="A"/>
    <x v="3"/>
    <x v="48"/>
    <n v="79"/>
    <x v="6"/>
    <s v="C"/>
    <s v="Pass"/>
  </r>
  <r>
    <x v="454"/>
    <x v="90"/>
    <x v="0"/>
    <x v="4"/>
    <s v="A"/>
    <x v="0"/>
    <x v="25"/>
    <n v="94"/>
    <x v="5"/>
    <s v="F"/>
    <s v="Pass"/>
  </r>
  <r>
    <x v="455"/>
    <x v="39"/>
    <x v="0"/>
    <x v="5"/>
    <s v="A"/>
    <x v="2"/>
    <x v="14"/>
    <n v="86"/>
    <x v="3"/>
    <s v="C"/>
    <s v="Pass"/>
  </r>
  <r>
    <x v="456"/>
    <x v="89"/>
    <x v="1"/>
    <x v="3"/>
    <s v="B"/>
    <x v="4"/>
    <x v="61"/>
    <n v="92"/>
    <x v="3"/>
    <s v="F"/>
    <s v="Pass"/>
  </r>
  <r>
    <x v="457"/>
    <x v="43"/>
    <x v="0"/>
    <x v="0"/>
    <s v="B"/>
    <x v="3"/>
    <x v="16"/>
    <n v="71"/>
    <x v="1"/>
    <s v="C"/>
    <s v="Pass"/>
  </r>
  <r>
    <x v="458"/>
    <x v="75"/>
    <x v="1"/>
    <x v="5"/>
    <s v="B"/>
    <x v="4"/>
    <x v="64"/>
    <n v="77"/>
    <x v="4"/>
    <s v="C"/>
    <s v="Pass"/>
  </r>
  <r>
    <x v="459"/>
    <x v="19"/>
    <x v="0"/>
    <x v="3"/>
    <s v="C"/>
    <x v="4"/>
    <x v="38"/>
    <n v="74"/>
    <x v="6"/>
    <s v="A+"/>
    <s v="Pass"/>
  </r>
  <r>
    <x v="460"/>
    <x v="71"/>
    <x v="0"/>
    <x v="4"/>
    <s v="A"/>
    <x v="4"/>
    <x v="16"/>
    <n v="91"/>
    <x v="3"/>
    <s v="C"/>
    <s v="Pass"/>
  </r>
  <r>
    <x v="461"/>
    <x v="92"/>
    <x v="0"/>
    <x v="0"/>
    <s v="A"/>
    <x v="0"/>
    <x v="19"/>
    <n v="84"/>
    <x v="6"/>
    <s v="F"/>
    <s v="Pass"/>
  </r>
  <r>
    <x v="462"/>
    <x v="71"/>
    <x v="0"/>
    <x v="3"/>
    <s v="C"/>
    <x v="2"/>
    <x v="62"/>
    <n v="73"/>
    <x v="5"/>
    <s v="F"/>
    <s v="Pass"/>
  </r>
  <r>
    <x v="463"/>
    <x v="37"/>
    <x v="1"/>
    <x v="6"/>
    <s v="C"/>
    <x v="1"/>
    <x v="8"/>
    <n v="69"/>
    <x v="3"/>
    <s v="A"/>
    <s v="Pass"/>
  </r>
  <r>
    <x v="464"/>
    <x v="53"/>
    <x v="1"/>
    <x v="4"/>
    <s v="A"/>
    <x v="4"/>
    <x v="20"/>
    <n v="90"/>
    <x v="3"/>
    <s v="B"/>
    <s v="Pass"/>
  </r>
  <r>
    <x v="465"/>
    <x v="48"/>
    <x v="1"/>
    <x v="1"/>
    <s v="B"/>
    <x v="0"/>
    <x v="53"/>
    <n v="99"/>
    <x v="5"/>
    <s v="C"/>
    <s v="Pass"/>
  </r>
  <r>
    <x v="466"/>
    <x v="62"/>
    <x v="1"/>
    <x v="6"/>
    <s v="A"/>
    <x v="1"/>
    <x v="62"/>
    <n v="68"/>
    <x v="6"/>
    <s v="F"/>
    <s v="Pass"/>
  </r>
  <r>
    <x v="467"/>
    <x v="22"/>
    <x v="1"/>
    <x v="0"/>
    <s v="B"/>
    <x v="4"/>
    <x v="11"/>
    <n v="76"/>
    <x v="0"/>
    <s v="F"/>
    <s v="Pass"/>
  </r>
  <r>
    <x v="468"/>
    <x v="21"/>
    <x v="1"/>
    <x v="2"/>
    <s v="A"/>
    <x v="0"/>
    <x v="53"/>
    <n v="67"/>
    <x v="2"/>
    <s v="C"/>
    <s v="Pass"/>
  </r>
  <r>
    <x v="469"/>
    <x v="43"/>
    <x v="1"/>
    <x v="4"/>
    <s v="B"/>
    <x v="1"/>
    <x v="30"/>
    <n v="74"/>
    <x v="0"/>
    <s v="F"/>
    <s v="Pass"/>
  </r>
  <r>
    <x v="470"/>
    <x v="68"/>
    <x v="0"/>
    <x v="0"/>
    <s v="A"/>
    <x v="4"/>
    <x v="20"/>
    <n v="88"/>
    <x v="6"/>
    <s v="B"/>
    <s v="Pass"/>
  </r>
  <r>
    <x v="471"/>
    <x v="43"/>
    <x v="1"/>
    <x v="6"/>
    <s v="B"/>
    <x v="2"/>
    <x v="47"/>
    <n v="95"/>
    <x v="2"/>
    <s v="A"/>
    <s v="Pass"/>
  </r>
  <r>
    <x v="472"/>
    <x v="65"/>
    <x v="1"/>
    <x v="0"/>
    <s v="B"/>
    <x v="3"/>
    <x v="57"/>
    <n v="69"/>
    <x v="3"/>
    <s v="A+"/>
    <s v="Pass"/>
  </r>
  <r>
    <x v="473"/>
    <x v="9"/>
    <x v="1"/>
    <x v="2"/>
    <s v="B"/>
    <x v="4"/>
    <x v="42"/>
    <n v="74"/>
    <x v="1"/>
    <s v="C"/>
    <s v="Pass"/>
  </r>
  <r>
    <x v="474"/>
    <x v="41"/>
    <x v="1"/>
    <x v="3"/>
    <s v="A"/>
    <x v="4"/>
    <x v="31"/>
    <n v="88"/>
    <x v="5"/>
    <s v="A"/>
    <s v="Pass"/>
  </r>
  <r>
    <x v="475"/>
    <x v="53"/>
    <x v="0"/>
    <x v="5"/>
    <s v="B"/>
    <x v="4"/>
    <x v="5"/>
    <n v="94"/>
    <x v="1"/>
    <s v="F"/>
    <s v="Pass"/>
  </r>
  <r>
    <x v="476"/>
    <x v="30"/>
    <x v="0"/>
    <x v="2"/>
    <s v="C"/>
    <x v="5"/>
    <x v="48"/>
    <n v="73"/>
    <x v="1"/>
    <s v="C"/>
    <s v="Pass"/>
  </r>
  <r>
    <x v="477"/>
    <x v="66"/>
    <x v="1"/>
    <x v="4"/>
    <s v="C"/>
    <x v="3"/>
    <x v="30"/>
    <n v="73"/>
    <x v="2"/>
    <s v="F"/>
    <s v="Pass"/>
  </r>
  <r>
    <x v="478"/>
    <x v="20"/>
    <x v="1"/>
    <x v="2"/>
    <s v="C"/>
    <x v="4"/>
    <x v="41"/>
    <n v="95"/>
    <x v="2"/>
    <s v="F"/>
    <s v="Pass"/>
  </r>
  <r>
    <x v="479"/>
    <x v="48"/>
    <x v="1"/>
    <x v="0"/>
    <s v="B"/>
    <x v="5"/>
    <x v="45"/>
    <n v="72"/>
    <x v="3"/>
    <s v="A"/>
    <s v="Pass"/>
  </r>
  <r>
    <x v="480"/>
    <x v="82"/>
    <x v="0"/>
    <x v="4"/>
    <s v="C"/>
    <x v="4"/>
    <x v="8"/>
    <n v="68"/>
    <x v="4"/>
    <s v="A"/>
    <s v="Pass"/>
  </r>
  <r>
    <x v="481"/>
    <x v="32"/>
    <x v="1"/>
    <x v="4"/>
    <s v="A"/>
    <x v="1"/>
    <x v="1"/>
    <n v="87"/>
    <x v="3"/>
    <s v="A+"/>
    <s v="Pass"/>
  </r>
  <r>
    <x v="482"/>
    <x v="62"/>
    <x v="0"/>
    <x v="5"/>
    <s v="C"/>
    <x v="2"/>
    <x v="6"/>
    <n v="78"/>
    <x v="4"/>
    <s v="B"/>
    <s v="Pass"/>
  </r>
  <r>
    <x v="483"/>
    <x v="2"/>
    <x v="1"/>
    <x v="5"/>
    <s v="C"/>
    <x v="4"/>
    <x v="24"/>
    <n v="61"/>
    <x v="5"/>
    <s v="F"/>
    <s v="Pass"/>
  </r>
  <r>
    <x v="484"/>
    <x v="42"/>
    <x v="1"/>
    <x v="3"/>
    <s v="A"/>
    <x v="3"/>
    <x v="43"/>
    <n v="95"/>
    <x v="3"/>
    <s v="A"/>
    <s v="Pass"/>
  </r>
  <r>
    <x v="485"/>
    <x v="21"/>
    <x v="0"/>
    <x v="5"/>
    <s v="C"/>
    <x v="3"/>
    <x v="43"/>
    <n v="83"/>
    <x v="5"/>
    <s v="A"/>
    <s v="Pass"/>
  </r>
  <r>
    <x v="486"/>
    <x v="62"/>
    <x v="0"/>
    <x v="6"/>
    <s v="B"/>
    <x v="1"/>
    <x v="36"/>
    <n v="83"/>
    <x v="6"/>
    <s v="C"/>
    <s v="Pass"/>
  </r>
  <r>
    <x v="487"/>
    <x v="51"/>
    <x v="0"/>
    <x v="2"/>
    <s v="B"/>
    <x v="2"/>
    <x v="55"/>
    <n v="71"/>
    <x v="4"/>
    <s v="F"/>
    <s v="Pass"/>
  </r>
  <r>
    <x v="488"/>
    <x v="31"/>
    <x v="0"/>
    <x v="2"/>
    <s v="C"/>
    <x v="5"/>
    <x v="47"/>
    <n v="92"/>
    <x v="5"/>
    <s v="A"/>
    <s v="Pass"/>
  </r>
  <r>
    <x v="489"/>
    <x v="64"/>
    <x v="1"/>
    <x v="2"/>
    <s v="B"/>
    <x v="3"/>
    <x v="10"/>
    <n v="97"/>
    <x v="0"/>
    <s v="A+"/>
    <s v="Pass"/>
  </r>
  <r>
    <x v="490"/>
    <x v="5"/>
    <x v="1"/>
    <x v="4"/>
    <s v="A"/>
    <x v="0"/>
    <x v="16"/>
    <n v="76"/>
    <x v="0"/>
    <s v="C"/>
    <s v="Pass"/>
  </r>
  <r>
    <x v="491"/>
    <x v="73"/>
    <x v="0"/>
    <x v="0"/>
    <s v="A"/>
    <x v="1"/>
    <x v="1"/>
    <n v="75"/>
    <x v="2"/>
    <s v="A+"/>
    <s v="Pass"/>
  </r>
  <r>
    <x v="492"/>
    <x v="65"/>
    <x v="1"/>
    <x v="1"/>
    <s v="B"/>
    <x v="0"/>
    <x v="39"/>
    <n v="69"/>
    <x v="0"/>
    <s v="A"/>
    <s v="Pass"/>
  </r>
  <r>
    <x v="493"/>
    <x v="67"/>
    <x v="1"/>
    <x v="6"/>
    <s v="A"/>
    <x v="3"/>
    <x v="65"/>
    <n v="61"/>
    <x v="4"/>
    <s v="F"/>
    <s v="Pass"/>
  </r>
  <r>
    <x v="494"/>
    <x v="52"/>
    <x v="1"/>
    <x v="3"/>
    <s v="C"/>
    <x v="3"/>
    <x v="18"/>
    <n v="79"/>
    <x v="1"/>
    <s v="A"/>
    <s v="Pass"/>
  </r>
  <r>
    <x v="495"/>
    <x v="20"/>
    <x v="0"/>
    <x v="3"/>
    <s v="C"/>
    <x v="5"/>
    <x v="17"/>
    <n v="86"/>
    <x v="1"/>
    <s v="A"/>
    <s v="Pass"/>
  </r>
  <r>
    <x v="496"/>
    <x v="32"/>
    <x v="1"/>
    <x v="3"/>
    <s v="A"/>
    <x v="2"/>
    <x v="27"/>
    <n v="75"/>
    <x v="2"/>
    <s v="B"/>
    <s v="Pass"/>
  </r>
  <r>
    <x v="497"/>
    <x v="36"/>
    <x v="1"/>
    <x v="4"/>
    <s v="A"/>
    <x v="1"/>
    <x v="21"/>
    <n v="97"/>
    <x v="5"/>
    <s v="A+"/>
    <s v="Pass"/>
  </r>
  <r>
    <x v="498"/>
    <x v="63"/>
    <x v="1"/>
    <x v="1"/>
    <s v="C"/>
    <x v="5"/>
    <x v="56"/>
    <n v="75"/>
    <x v="6"/>
    <s v="F"/>
    <s v="Pass"/>
  </r>
  <r>
    <x v="499"/>
    <x v="21"/>
    <x v="0"/>
    <x v="6"/>
    <s v="B"/>
    <x v="2"/>
    <x v="63"/>
    <n v="61"/>
    <x v="4"/>
    <s v="A"/>
    <s v="Pass"/>
  </r>
  <r>
    <x v="500"/>
    <x v="67"/>
    <x v="0"/>
    <x v="0"/>
    <s v="C"/>
    <x v="3"/>
    <x v="26"/>
    <n v="95"/>
    <x v="5"/>
    <s v="F"/>
    <s v="Pass"/>
  </r>
  <r>
    <x v="501"/>
    <x v="9"/>
    <x v="0"/>
    <x v="3"/>
    <s v="C"/>
    <x v="5"/>
    <x v="54"/>
    <n v="73"/>
    <x v="4"/>
    <s v="C"/>
    <s v="Pass"/>
  </r>
  <r>
    <x v="502"/>
    <x v="71"/>
    <x v="1"/>
    <x v="0"/>
    <s v="C"/>
    <x v="5"/>
    <x v="11"/>
    <n v="96"/>
    <x v="1"/>
    <s v="F"/>
    <s v="Pass"/>
  </r>
  <r>
    <x v="503"/>
    <x v="69"/>
    <x v="0"/>
    <x v="5"/>
    <s v="A"/>
    <x v="5"/>
    <x v="1"/>
    <n v="88"/>
    <x v="0"/>
    <s v="A+"/>
    <s v="Pass"/>
  </r>
  <r>
    <x v="504"/>
    <x v="13"/>
    <x v="1"/>
    <x v="1"/>
    <s v="B"/>
    <x v="3"/>
    <x v="35"/>
    <n v="74"/>
    <x v="1"/>
    <s v="B"/>
    <s v="Pass"/>
  </r>
  <r>
    <x v="505"/>
    <x v="87"/>
    <x v="1"/>
    <x v="2"/>
    <s v="B"/>
    <x v="0"/>
    <x v="57"/>
    <n v="90"/>
    <x v="1"/>
    <s v="A+"/>
    <s v="Pass"/>
  </r>
  <r>
    <x v="506"/>
    <x v="54"/>
    <x v="0"/>
    <x v="6"/>
    <s v="A"/>
    <x v="3"/>
    <x v="39"/>
    <n v="68"/>
    <x v="6"/>
    <s v="A"/>
    <s v="Pass"/>
  </r>
  <r>
    <x v="507"/>
    <x v="41"/>
    <x v="0"/>
    <x v="5"/>
    <s v="C"/>
    <x v="5"/>
    <x v="37"/>
    <n v="93"/>
    <x v="1"/>
    <s v="F"/>
    <s v="Pass"/>
  </r>
  <r>
    <x v="508"/>
    <x v="70"/>
    <x v="0"/>
    <x v="1"/>
    <s v="C"/>
    <x v="4"/>
    <x v="54"/>
    <n v="77"/>
    <x v="5"/>
    <s v="C"/>
    <s v="Pass"/>
  </r>
  <r>
    <x v="509"/>
    <x v="51"/>
    <x v="0"/>
    <x v="0"/>
    <s v="C"/>
    <x v="5"/>
    <x v="58"/>
    <n v="84"/>
    <x v="5"/>
    <s v="C"/>
    <s v="Pass"/>
  </r>
  <r>
    <x v="510"/>
    <x v="38"/>
    <x v="0"/>
    <x v="3"/>
    <s v="B"/>
    <x v="0"/>
    <x v="48"/>
    <n v="100"/>
    <x v="4"/>
    <s v="C"/>
    <s v="Pass"/>
  </r>
  <r>
    <x v="511"/>
    <x v="5"/>
    <x v="1"/>
    <x v="4"/>
    <s v="A"/>
    <x v="3"/>
    <x v="6"/>
    <n v="60"/>
    <x v="2"/>
    <s v="B"/>
    <s v="Pass"/>
  </r>
  <r>
    <x v="512"/>
    <x v="3"/>
    <x v="1"/>
    <x v="2"/>
    <s v="C"/>
    <x v="3"/>
    <x v="54"/>
    <n v="75"/>
    <x v="6"/>
    <s v="C"/>
    <s v="Pass"/>
  </r>
  <r>
    <x v="513"/>
    <x v="22"/>
    <x v="1"/>
    <x v="1"/>
    <s v="B"/>
    <x v="4"/>
    <x v="28"/>
    <n v="81"/>
    <x v="1"/>
    <s v="B"/>
    <s v="Pass"/>
  </r>
  <r>
    <x v="514"/>
    <x v="10"/>
    <x v="0"/>
    <x v="2"/>
    <s v="C"/>
    <x v="2"/>
    <x v="8"/>
    <n v="81"/>
    <x v="6"/>
    <s v="A"/>
    <s v="Pass"/>
  </r>
  <r>
    <x v="515"/>
    <x v="92"/>
    <x v="0"/>
    <x v="6"/>
    <s v="A"/>
    <x v="3"/>
    <x v="32"/>
    <n v="85"/>
    <x v="5"/>
    <s v="A+"/>
    <s v="Pass"/>
  </r>
  <r>
    <x v="516"/>
    <x v="0"/>
    <x v="1"/>
    <x v="2"/>
    <s v="B"/>
    <x v="0"/>
    <x v="65"/>
    <n v="82"/>
    <x v="5"/>
    <s v="F"/>
    <s v="Pass"/>
  </r>
  <r>
    <x v="517"/>
    <x v="89"/>
    <x v="1"/>
    <x v="6"/>
    <s v="C"/>
    <x v="2"/>
    <x v="57"/>
    <n v="67"/>
    <x v="1"/>
    <s v="A+"/>
    <s v="Pass"/>
  </r>
  <r>
    <x v="518"/>
    <x v="8"/>
    <x v="1"/>
    <x v="5"/>
    <s v="B"/>
    <x v="3"/>
    <x v="32"/>
    <n v="86"/>
    <x v="2"/>
    <s v="A+"/>
    <s v="Pass"/>
  </r>
  <r>
    <x v="519"/>
    <x v="7"/>
    <x v="1"/>
    <x v="6"/>
    <s v="B"/>
    <x v="3"/>
    <x v="44"/>
    <n v="82"/>
    <x v="5"/>
    <s v="F"/>
    <s v="Pass"/>
  </r>
  <r>
    <x v="520"/>
    <x v="32"/>
    <x v="1"/>
    <x v="3"/>
    <s v="A"/>
    <x v="3"/>
    <x v="38"/>
    <n v="72"/>
    <x v="5"/>
    <s v="A+"/>
    <s v="Pass"/>
  </r>
  <r>
    <x v="521"/>
    <x v="86"/>
    <x v="0"/>
    <x v="4"/>
    <s v="A"/>
    <x v="3"/>
    <x v="32"/>
    <n v="97"/>
    <x v="5"/>
    <s v="A+"/>
    <s v="Pass"/>
  </r>
  <r>
    <x v="522"/>
    <x v="4"/>
    <x v="0"/>
    <x v="0"/>
    <s v="B"/>
    <x v="4"/>
    <x v="47"/>
    <n v="83"/>
    <x v="3"/>
    <s v="A"/>
    <s v="Pass"/>
  </r>
  <r>
    <x v="523"/>
    <x v="57"/>
    <x v="0"/>
    <x v="6"/>
    <s v="B"/>
    <x v="3"/>
    <x v="6"/>
    <n v="83"/>
    <x v="3"/>
    <s v="B"/>
    <s v="Pass"/>
  </r>
  <r>
    <x v="524"/>
    <x v="65"/>
    <x v="1"/>
    <x v="0"/>
    <s v="C"/>
    <x v="1"/>
    <x v="17"/>
    <n v="61"/>
    <x v="5"/>
    <s v="A"/>
    <s v="Pass"/>
  </r>
  <r>
    <x v="525"/>
    <x v="87"/>
    <x v="0"/>
    <x v="1"/>
    <s v="C"/>
    <x v="1"/>
    <x v="59"/>
    <n v="89"/>
    <x v="6"/>
    <s v="F"/>
    <s v="Pass"/>
  </r>
  <r>
    <x v="526"/>
    <x v="25"/>
    <x v="0"/>
    <x v="1"/>
    <s v="C"/>
    <x v="0"/>
    <x v="32"/>
    <n v="93"/>
    <x v="5"/>
    <s v="A+"/>
    <s v="Pass"/>
  </r>
  <r>
    <x v="527"/>
    <x v="34"/>
    <x v="1"/>
    <x v="1"/>
    <s v="C"/>
    <x v="4"/>
    <x v="10"/>
    <n v="71"/>
    <x v="0"/>
    <s v="A+"/>
    <s v="Pass"/>
  </r>
  <r>
    <x v="528"/>
    <x v="24"/>
    <x v="0"/>
    <x v="1"/>
    <s v="A"/>
    <x v="4"/>
    <x v="4"/>
    <n v="96"/>
    <x v="6"/>
    <s v="F"/>
    <s v="Pass"/>
  </r>
  <r>
    <x v="529"/>
    <x v="15"/>
    <x v="0"/>
    <x v="2"/>
    <s v="B"/>
    <x v="3"/>
    <x v="42"/>
    <n v="68"/>
    <x v="1"/>
    <s v="C"/>
    <s v="Pass"/>
  </r>
  <r>
    <x v="530"/>
    <x v="27"/>
    <x v="1"/>
    <x v="6"/>
    <s v="B"/>
    <x v="2"/>
    <x v="5"/>
    <n v="80"/>
    <x v="3"/>
    <s v="F"/>
    <s v="Pass"/>
  </r>
  <r>
    <x v="531"/>
    <x v="35"/>
    <x v="1"/>
    <x v="4"/>
    <s v="A"/>
    <x v="3"/>
    <x v="37"/>
    <n v="97"/>
    <x v="6"/>
    <s v="F"/>
    <s v="Pass"/>
  </r>
  <r>
    <x v="532"/>
    <x v="46"/>
    <x v="0"/>
    <x v="5"/>
    <s v="C"/>
    <x v="1"/>
    <x v="3"/>
    <n v="63"/>
    <x v="6"/>
    <s v="B"/>
    <s v="Pass"/>
  </r>
  <r>
    <x v="533"/>
    <x v="29"/>
    <x v="0"/>
    <x v="5"/>
    <s v="A"/>
    <x v="5"/>
    <x v="44"/>
    <n v="91"/>
    <x v="3"/>
    <s v="F"/>
    <s v="Pass"/>
  </r>
  <r>
    <x v="534"/>
    <x v="38"/>
    <x v="1"/>
    <x v="3"/>
    <s v="A"/>
    <x v="2"/>
    <x v="49"/>
    <n v="82"/>
    <x v="1"/>
    <s v="B"/>
    <s v="Pass"/>
  </r>
  <r>
    <x v="535"/>
    <x v="55"/>
    <x v="0"/>
    <x v="3"/>
    <s v="C"/>
    <x v="3"/>
    <x v="53"/>
    <n v="70"/>
    <x v="0"/>
    <s v="C"/>
    <s v="Pass"/>
  </r>
  <r>
    <x v="536"/>
    <x v="65"/>
    <x v="0"/>
    <x v="2"/>
    <s v="C"/>
    <x v="0"/>
    <x v="45"/>
    <n v="79"/>
    <x v="6"/>
    <s v="A"/>
    <s v="Pass"/>
  </r>
  <r>
    <x v="537"/>
    <x v="75"/>
    <x v="0"/>
    <x v="2"/>
    <s v="C"/>
    <x v="0"/>
    <x v="52"/>
    <n v="67"/>
    <x v="4"/>
    <s v="F"/>
    <s v="Pass"/>
  </r>
  <r>
    <x v="538"/>
    <x v="75"/>
    <x v="1"/>
    <x v="3"/>
    <s v="A"/>
    <x v="1"/>
    <x v="57"/>
    <n v="73"/>
    <x v="1"/>
    <s v="A+"/>
    <s v="Pass"/>
  </r>
  <r>
    <x v="539"/>
    <x v="91"/>
    <x v="1"/>
    <x v="4"/>
    <s v="C"/>
    <x v="5"/>
    <x v="38"/>
    <n v="85"/>
    <x v="6"/>
    <s v="A+"/>
    <s v="Pass"/>
  </r>
  <r>
    <x v="540"/>
    <x v="93"/>
    <x v="0"/>
    <x v="2"/>
    <s v="C"/>
    <x v="2"/>
    <x v="60"/>
    <n v="98"/>
    <x v="0"/>
    <s v="F"/>
    <s v="Pass"/>
  </r>
  <r>
    <x v="541"/>
    <x v="2"/>
    <x v="1"/>
    <x v="1"/>
    <s v="C"/>
    <x v="1"/>
    <x v="25"/>
    <n v="63"/>
    <x v="3"/>
    <s v="F"/>
    <s v="Pass"/>
  </r>
  <r>
    <x v="542"/>
    <x v="40"/>
    <x v="0"/>
    <x v="5"/>
    <s v="B"/>
    <x v="2"/>
    <x v="8"/>
    <n v="68"/>
    <x v="0"/>
    <s v="A"/>
    <s v="Pass"/>
  </r>
  <r>
    <x v="543"/>
    <x v="18"/>
    <x v="1"/>
    <x v="6"/>
    <s v="A"/>
    <x v="2"/>
    <x v="20"/>
    <n v="84"/>
    <x v="5"/>
    <s v="B"/>
    <s v="Pass"/>
  </r>
  <r>
    <x v="544"/>
    <x v="95"/>
    <x v="1"/>
    <x v="5"/>
    <s v="A"/>
    <x v="0"/>
    <x v="2"/>
    <n v="73"/>
    <x v="0"/>
    <s v="C"/>
    <s v="Pass"/>
  </r>
  <r>
    <x v="545"/>
    <x v="88"/>
    <x v="0"/>
    <x v="4"/>
    <s v="C"/>
    <x v="2"/>
    <x v="39"/>
    <n v="75"/>
    <x v="3"/>
    <s v="A"/>
    <s v="Pass"/>
  </r>
  <r>
    <x v="546"/>
    <x v="43"/>
    <x v="1"/>
    <x v="0"/>
    <s v="A"/>
    <x v="0"/>
    <x v="17"/>
    <n v="60"/>
    <x v="2"/>
    <s v="A"/>
    <s v="Pass"/>
  </r>
  <r>
    <x v="547"/>
    <x v="54"/>
    <x v="1"/>
    <x v="4"/>
    <s v="B"/>
    <x v="5"/>
    <x v="41"/>
    <n v="96"/>
    <x v="6"/>
    <s v="F"/>
    <s v="Pass"/>
  </r>
  <r>
    <x v="548"/>
    <x v="11"/>
    <x v="1"/>
    <x v="5"/>
    <s v="B"/>
    <x v="1"/>
    <x v="64"/>
    <n v="65"/>
    <x v="2"/>
    <s v="C"/>
    <s v="Pass"/>
  </r>
  <r>
    <x v="549"/>
    <x v="13"/>
    <x v="0"/>
    <x v="5"/>
    <s v="B"/>
    <x v="4"/>
    <x v="34"/>
    <n v="72"/>
    <x v="4"/>
    <s v="F"/>
    <s v="Pass"/>
  </r>
  <r>
    <x v="550"/>
    <x v="44"/>
    <x v="0"/>
    <x v="1"/>
    <s v="C"/>
    <x v="2"/>
    <x v="35"/>
    <n v="63"/>
    <x v="6"/>
    <s v="B"/>
    <s v="Pass"/>
  </r>
  <r>
    <x v="551"/>
    <x v="74"/>
    <x v="1"/>
    <x v="2"/>
    <s v="B"/>
    <x v="0"/>
    <x v="64"/>
    <n v="70"/>
    <x v="5"/>
    <s v="C"/>
    <s v="Pass"/>
  </r>
  <r>
    <x v="552"/>
    <x v="43"/>
    <x v="0"/>
    <x v="3"/>
    <s v="C"/>
    <x v="2"/>
    <x v="63"/>
    <n v="78"/>
    <x v="6"/>
    <s v="A"/>
    <s v="Pass"/>
  </r>
  <r>
    <x v="553"/>
    <x v="5"/>
    <x v="0"/>
    <x v="4"/>
    <s v="C"/>
    <x v="5"/>
    <x v="64"/>
    <n v="71"/>
    <x v="3"/>
    <s v="C"/>
    <s v="Pass"/>
  </r>
  <r>
    <x v="554"/>
    <x v="47"/>
    <x v="1"/>
    <x v="5"/>
    <s v="A"/>
    <x v="1"/>
    <x v="23"/>
    <n v="80"/>
    <x v="1"/>
    <s v="A"/>
    <s v="Pass"/>
  </r>
  <r>
    <x v="555"/>
    <x v="76"/>
    <x v="0"/>
    <x v="5"/>
    <s v="C"/>
    <x v="1"/>
    <x v="52"/>
    <n v="94"/>
    <x v="4"/>
    <s v="F"/>
    <s v="Pass"/>
  </r>
  <r>
    <x v="556"/>
    <x v="72"/>
    <x v="0"/>
    <x v="3"/>
    <s v="B"/>
    <x v="2"/>
    <x v="4"/>
    <n v="68"/>
    <x v="6"/>
    <s v="F"/>
    <s v="Pass"/>
  </r>
  <r>
    <x v="557"/>
    <x v="66"/>
    <x v="1"/>
    <x v="0"/>
    <s v="A"/>
    <x v="5"/>
    <x v="38"/>
    <n v="94"/>
    <x v="1"/>
    <s v="A+"/>
    <s v="Pass"/>
  </r>
  <r>
    <x v="558"/>
    <x v="16"/>
    <x v="0"/>
    <x v="4"/>
    <s v="A"/>
    <x v="1"/>
    <x v="29"/>
    <n v="80"/>
    <x v="2"/>
    <s v="B"/>
    <s v="Pass"/>
  </r>
  <r>
    <x v="559"/>
    <x v="54"/>
    <x v="0"/>
    <x v="6"/>
    <s v="C"/>
    <x v="1"/>
    <x v="0"/>
    <n v="75"/>
    <x v="0"/>
    <s v="F"/>
    <s v="Pass"/>
  </r>
  <r>
    <x v="560"/>
    <x v="86"/>
    <x v="1"/>
    <x v="5"/>
    <s v="B"/>
    <x v="2"/>
    <x v="16"/>
    <n v="86"/>
    <x v="6"/>
    <s v="C"/>
    <s v="Pass"/>
  </r>
  <r>
    <x v="561"/>
    <x v="82"/>
    <x v="0"/>
    <x v="1"/>
    <s v="B"/>
    <x v="2"/>
    <x v="10"/>
    <n v="94"/>
    <x v="6"/>
    <s v="A+"/>
    <s v="Pass"/>
  </r>
  <r>
    <x v="562"/>
    <x v="52"/>
    <x v="1"/>
    <x v="3"/>
    <s v="B"/>
    <x v="1"/>
    <x v="46"/>
    <n v="64"/>
    <x v="0"/>
    <s v="A+"/>
    <s v="Pass"/>
  </r>
  <r>
    <x v="563"/>
    <x v="29"/>
    <x v="1"/>
    <x v="5"/>
    <s v="C"/>
    <x v="2"/>
    <x v="12"/>
    <n v="78"/>
    <x v="6"/>
    <s v="A+"/>
    <s v="Pass"/>
  </r>
  <r>
    <x v="564"/>
    <x v="65"/>
    <x v="0"/>
    <x v="4"/>
    <s v="A"/>
    <x v="3"/>
    <x v="34"/>
    <n v="96"/>
    <x v="4"/>
    <s v="F"/>
    <s v="Pass"/>
  </r>
  <r>
    <x v="565"/>
    <x v="3"/>
    <x v="0"/>
    <x v="4"/>
    <s v="A"/>
    <x v="4"/>
    <x v="59"/>
    <n v="89"/>
    <x v="0"/>
    <s v="F"/>
    <s v="Pass"/>
  </r>
  <r>
    <x v="566"/>
    <x v="75"/>
    <x v="1"/>
    <x v="4"/>
    <s v="A"/>
    <x v="2"/>
    <x v="1"/>
    <n v="96"/>
    <x v="5"/>
    <s v="A+"/>
    <s v="Pass"/>
  </r>
  <r>
    <x v="567"/>
    <x v="64"/>
    <x v="1"/>
    <x v="2"/>
    <s v="B"/>
    <x v="3"/>
    <x v="27"/>
    <n v="69"/>
    <x v="6"/>
    <s v="B"/>
    <s v="Pass"/>
  </r>
  <r>
    <x v="568"/>
    <x v="31"/>
    <x v="0"/>
    <x v="2"/>
    <s v="C"/>
    <x v="0"/>
    <x v="52"/>
    <n v="73"/>
    <x v="3"/>
    <s v="F"/>
    <s v="Pass"/>
  </r>
  <r>
    <x v="569"/>
    <x v="57"/>
    <x v="1"/>
    <x v="6"/>
    <s v="A"/>
    <x v="1"/>
    <x v="9"/>
    <n v="87"/>
    <x v="3"/>
    <s v="A+"/>
    <s v="Pass"/>
  </r>
  <r>
    <x v="570"/>
    <x v="76"/>
    <x v="1"/>
    <x v="0"/>
    <s v="A"/>
    <x v="1"/>
    <x v="9"/>
    <n v="90"/>
    <x v="3"/>
    <s v="A+"/>
    <s v="Pass"/>
  </r>
  <r>
    <x v="571"/>
    <x v="28"/>
    <x v="1"/>
    <x v="1"/>
    <s v="A"/>
    <x v="3"/>
    <x v="44"/>
    <n v="80"/>
    <x v="5"/>
    <s v="F"/>
    <s v="Pass"/>
  </r>
  <r>
    <x v="572"/>
    <x v="72"/>
    <x v="1"/>
    <x v="4"/>
    <s v="A"/>
    <x v="0"/>
    <x v="48"/>
    <n v="87"/>
    <x v="3"/>
    <s v="C"/>
    <s v="Pass"/>
  </r>
  <r>
    <x v="573"/>
    <x v="89"/>
    <x v="1"/>
    <x v="1"/>
    <s v="A"/>
    <x v="5"/>
    <x v="52"/>
    <n v="83"/>
    <x v="2"/>
    <s v="F"/>
    <s v="Pass"/>
  </r>
  <r>
    <x v="574"/>
    <x v="90"/>
    <x v="0"/>
    <x v="4"/>
    <s v="C"/>
    <x v="2"/>
    <x v="54"/>
    <n v="61"/>
    <x v="0"/>
    <s v="C"/>
    <s v="Pass"/>
  </r>
  <r>
    <x v="575"/>
    <x v="14"/>
    <x v="1"/>
    <x v="1"/>
    <s v="B"/>
    <x v="5"/>
    <x v="0"/>
    <n v="81"/>
    <x v="5"/>
    <s v="F"/>
    <s v="Pass"/>
  </r>
  <r>
    <x v="576"/>
    <x v="18"/>
    <x v="1"/>
    <x v="4"/>
    <s v="C"/>
    <x v="4"/>
    <x v="41"/>
    <n v="100"/>
    <x v="6"/>
    <s v="F"/>
    <s v="Pass"/>
  </r>
  <r>
    <x v="577"/>
    <x v="0"/>
    <x v="1"/>
    <x v="0"/>
    <s v="B"/>
    <x v="0"/>
    <x v="1"/>
    <n v="96"/>
    <x v="2"/>
    <s v="A+"/>
    <s v="Pass"/>
  </r>
  <r>
    <x v="578"/>
    <x v="8"/>
    <x v="1"/>
    <x v="0"/>
    <s v="A"/>
    <x v="5"/>
    <x v="28"/>
    <n v="90"/>
    <x v="4"/>
    <s v="B"/>
    <s v="Pass"/>
  </r>
  <r>
    <x v="579"/>
    <x v="81"/>
    <x v="0"/>
    <x v="0"/>
    <s v="C"/>
    <x v="1"/>
    <x v="56"/>
    <n v="71"/>
    <x v="4"/>
    <s v="F"/>
    <s v="Pass"/>
  </r>
  <r>
    <x v="580"/>
    <x v="86"/>
    <x v="1"/>
    <x v="1"/>
    <s v="B"/>
    <x v="4"/>
    <x v="41"/>
    <n v="68"/>
    <x v="3"/>
    <s v="F"/>
    <s v="Pass"/>
  </r>
  <r>
    <x v="581"/>
    <x v="2"/>
    <x v="1"/>
    <x v="6"/>
    <s v="A"/>
    <x v="1"/>
    <x v="2"/>
    <n v="84"/>
    <x v="1"/>
    <s v="C"/>
    <s v="Pass"/>
  </r>
  <r>
    <x v="582"/>
    <x v="4"/>
    <x v="1"/>
    <x v="1"/>
    <s v="C"/>
    <x v="0"/>
    <x v="19"/>
    <n v="93"/>
    <x v="2"/>
    <s v="F"/>
    <s v="Pass"/>
  </r>
  <r>
    <x v="583"/>
    <x v="36"/>
    <x v="0"/>
    <x v="2"/>
    <s v="A"/>
    <x v="1"/>
    <x v="11"/>
    <n v="69"/>
    <x v="2"/>
    <s v="F"/>
    <s v="Pass"/>
  </r>
  <r>
    <x v="584"/>
    <x v="95"/>
    <x v="0"/>
    <x v="0"/>
    <s v="B"/>
    <x v="1"/>
    <x v="17"/>
    <n v="75"/>
    <x v="5"/>
    <s v="A"/>
    <s v="Pass"/>
  </r>
  <r>
    <x v="585"/>
    <x v="82"/>
    <x v="0"/>
    <x v="5"/>
    <s v="A"/>
    <x v="1"/>
    <x v="54"/>
    <n v="85"/>
    <x v="3"/>
    <s v="C"/>
    <s v="Pass"/>
  </r>
  <r>
    <x v="586"/>
    <x v="70"/>
    <x v="1"/>
    <x v="0"/>
    <s v="B"/>
    <x v="0"/>
    <x v="44"/>
    <n v="95"/>
    <x v="6"/>
    <s v="F"/>
    <s v="Pass"/>
  </r>
  <r>
    <x v="587"/>
    <x v="85"/>
    <x v="0"/>
    <x v="4"/>
    <s v="A"/>
    <x v="2"/>
    <x v="53"/>
    <n v="71"/>
    <x v="1"/>
    <s v="C"/>
    <s v="Pass"/>
  </r>
  <r>
    <x v="588"/>
    <x v="68"/>
    <x v="0"/>
    <x v="0"/>
    <s v="B"/>
    <x v="0"/>
    <x v="39"/>
    <n v="80"/>
    <x v="6"/>
    <s v="A"/>
    <s v="Pass"/>
  </r>
  <r>
    <x v="589"/>
    <x v="34"/>
    <x v="1"/>
    <x v="0"/>
    <s v="A"/>
    <x v="0"/>
    <x v="5"/>
    <n v="79"/>
    <x v="5"/>
    <s v="F"/>
    <s v="Pass"/>
  </r>
  <r>
    <x v="590"/>
    <x v="94"/>
    <x v="1"/>
    <x v="1"/>
    <s v="A"/>
    <x v="2"/>
    <x v="58"/>
    <n v="62"/>
    <x v="5"/>
    <s v="C"/>
    <s v="Pass"/>
  </r>
  <r>
    <x v="591"/>
    <x v="61"/>
    <x v="1"/>
    <x v="0"/>
    <s v="A"/>
    <x v="5"/>
    <x v="54"/>
    <n v="98"/>
    <x v="5"/>
    <s v="C"/>
    <s v="Pass"/>
  </r>
  <r>
    <x v="592"/>
    <x v="37"/>
    <x v="1"/>
    <x v="2"/>
    <s v="B"/>
    <x v="2"/>
    <x v="45"/>
    <n v="99"/>
    <x v="2"/>
    <s v="A"/>
    <s v="Pass"/>
  </r>
  <r>
    <x v="593"/>
    <x v="46"/>
    <x v="1"/>
    <x v="3"/>
    <s v="A"/>
    <x v="1"/>
    <x v="44"/>
    <n v="70"/>
    <x v="2"/>
    <s v="F"/>
    <s v="Pass"/>
  </r>
  <r>
    <x v="594"/>
    <x v="75"/>
    <x v="1"/>
    <x v="0"/>
    <s v="C"/>
    <x v="5"/>
    <x v="47"/>
    <n v="97"/>
    <x v="3"/>
    <s v="A"/>
    <s v="Pass"/>
  </r>
  <r>
    <x v="595"/>
    <x v="66"/>
    <x v="1"/>
    <x v="1"/>
    <s v="C"/>
    <x v="4"/>
    <x v="62"/>
    <n v="96"/>
    <x v="0"/>
    <s v="F"/>
    <s v="Pass"/>
  </r>
  <r>
    <x v="596"/>
    <x v="95"/>
    <x v="0"/>
    <x v="6"/>
    <s v="C"/>
    <x v="1"/>
    <x v="8"/>
    <n v="75"/>
    <x v="6"/>
    <s v="A"/>
    <s v="Pass"/>
  </r>
  <r>
    <x v="597"/>
    <x v="73"/>
    <x v="0"/>
    <x v="0"/>
    <s v="B"/>
    <x v="2"/>
    <x v="3"/>
    <n v="74"/>
    <x v="3"/>
    <s v="B"/>
    <s v="Pass"/>
  </r>
  <r>
    <x v="598"/>
    <x v="33"/>
    <x v="0"/>
    <x v="3"/>
    <s v="B"/>
    <x v="3"/>
    <x v="41"/>
    <n v="89"/>
    <x v="6"/>
    <s v="F"/>
    <s v="Pass"/>
  </r>
  <r>
    <x v="599"/>
    <x v="57"/>
    <x v="1"/>
    <x v="2"/>
    <s v="A"/>
    <x v="5"/>
    <x v="61"/>
    <n v="78"/>
    <x v="6"/>
    <s v="F"/>
    <s v="Pass"/>
  </r>
  <r>
    <x v="600"/>
    <x v="71"/>
    <x v="1"/>
    <x v="5"/>
    <s v="B"/>
    <x v="0"/>
    <x v="29"/>
    <n v="73"/>
    <x v="0"/>
    <s v="B"/>
    <s v="Pass"/>
  </r>
  <r>
    <x v="601"/>
    <x v="52"/>
    <x v="1"/>
    <x v="2"/>
    <s v="B"/>
    <x v="2"/>
    <x v="13"/>
    <n v="87"/>
    <x v="3"/>
    <s v="F"/>
    <s v="Pass"/>
  </r>
  <r>
    <x v="602"/>
    <x v="47"/>
    <x v="0"/>
    <x v="1"/>
    <s v="C"/>
    <x v="2"/>
    <x v="15"/>
    <n v="100"/>
    <x v="6"/>
    <s v="F"/>
    <s v="Pass"/>
  </r>
  <r>
    <x v="603"/>
    <x v="35"/>
    <x v="0"/>
    <x v="1"/>
    <s v="A"/>
    <x v="5"/>
    <x v="16"/>
    <n v="87"/>
    <x v="5"/>
    <s v="C"/>
    <s v="Pass"/>
  </r>
  <r>
    <x v="604"/>
    <x v="87"/>
    <x v="0"/>
    <x v="3"/>
    <s v="A"/>
    <x v="3"/>
    <x v="8"/>
    <n v="83"/>
    <x v="2"/>
    <s v="A"/>
    <s v="Pass"/>
  </r>
  <r>
    <x v="605"/>
    <x v="7"/>
    <x v="1"/>
    <x v="4"/>
    <s v="C"/>
    <x v="0"/>
    <x v="54"/>
    <n v="100"/>
    <x v="5"/>
    <s v="C"/>
    <s v="Pass"/>
  </r>
  <r>
    <x v="606"/>
    <x v="26"/>
    <x v="1"/>
    <x v="6"/>
    <s v="B"/>
    <x v="1"/>
    <x v="41"/>
    <n v="73"/>
    <x v="5"/>
    <s v="F"/>
    <s v="Pass"/>
  </r>
  <r>
    <x v="607"/>
    <x v="43"/>
    <x v="1"/>
    <x v="6"/>
    <s v="C"/>
    <x v="2"/>
    <x v="62"/>
    <n v="87"/>
    <x v="0"/>
    <s v="F"/>
    <s v="Pass"/>
  </r>
  <r>
    <x v="608"/>
    <x v="73"/>
    <x v="0"/>
    <x v="2"/>
    <s v="A"/>
    <x v="5"/>
    <x v="49"/>
    <n v="83"/>
    <x v="0"/>
    <s v="B"/>
    <s v="Pass"/>
  </r>
  <r>
    <x v="609"/>
    <x v="78"/>
    <x v="0"/>
    <x v="0"/>
    <s v="A"/>
    <x v="4"/>
    <x v="23"/>
    <n v="96"/>
    <x v="1"/>
    <s v="A"/>
    <s v="Pass"/>
  </r>
  <r>
    <x v="610"/>
    <x v="3"/>
    <x v="0"/>
    <x v="2"/>
    <s v="C"/>
    <x v="1"/>
    <x v="18"/>
    <n v="70"/>
    <x v="6"/>
    <s v="A"/>
    <s v="Pass"/>
  </r>
  <r>
    <x v="611"/>
    <x v="18"/>
    <x v="0"/>
    <x v="0"/>
    <s v="A"/>
    <x v="2"/>
    <x v="52"/>
    <n v="82"/>
    <x v="0"/>
    <s v="F"/>
    <s v="Pass"/>
  </r>
  <r>
    <x v="612"/>
    <x v="83"/>
    <x v="1"/>
    <x v="5"/>
    <s v="A"/>
    <x v="2"/>
    <x v="32"/>
    <n v="82"/>
    <x v="5"/>
    <s v="A+"/>
    <s v="Pass"/>
  </r>
  <r>
    <x v="613"/>
    <x v="90"/>
    <x v="0"/>
    <x v="3"/>
    <s v="A"/>
    <x v="1"/>
    <x v="24"/>
    <n v="75"/>
    <x v="3"/>
    <s v="F"/>
    <s v="Pass"/>
  </r>
  <r>
    <x v="614"/>
    <x v="14"/>
    <x v="1"/>
    <x v="5"/>
    <s v="A"/>
    <x v="5"/>
    <x v="25"/>
    <n v="82"/>
    <x v="1"/>
    <s v="F"/>
    <s v="Pass"/>
  </r>
  <r>
    <x v="615"/>
    <x v="92"/>
    <x v="1"/>
    <x v="2"/>
    <s v="B"/>
    <x v="0"/>
    <x v="55"/>
    <n v="83"/>
    <x v="3"/>
    <s v="F"/>
    <s v="Pass"/>
  </r>
  <r>
    <x v="616"/>
    <x v="3"/>
    <x v="1"/>
    <x v="0"/>
    <s v="B"/>
    <x v="2"/>
    <x v="64"/>
    <n v="75"/>
    <x v="5"/>
    <s v="C"/>
    <s v="Pass"/>
  </r>
  <r>
    <x v="617"/>
    <x v="29"/>
    <x v="1"/>
    <x v="1"/>
    <s v="A"/>
    <x v="0"/>
    <x v="21"/>
    <n v="72"/>
    <x v="2"/>
    <s v="A+"/>
    <s v="Pass"/>
  </r>
  <r>
    <x v="618"/>
    <x v="18"/>
    <x v="1"/>
    <x v="6"/>
    <s v="C"/>
    <x v="2"/>
    <x v="37"/>
    <n v="90"/>
    <x v="3"/>
    <s v="F"/>
    <s v="Pass"/>
  </r>
  <r>
    <x v="619"/>
    <x v="45"/>
    <x v="0"/>
    <x v="1"/>
    <s v="C"/>
    <x v="5"/>
    <x v="35"/>
    <n v="72"/>
    <x v="6"/>
    <s v="B"/>
    <s v="Pass"/>
  </r>
  <r>
    <x v="620"/>
    <x v="63"/>
    <x v="1"/>
    <x v="1"/>
    <s v="B"/>
    <x v="2"/>
    <x v="48"/>
    <n v="88"/>
    <x v="2"/>
    <s v="C"/>
    <s v="Pass"/>
  </r>
  <r>
    <x v="621"/>
    <x v="33"/>
    <x v="1"/>
    <x v="3"/>
    <s v="A"/>
    <x v="3"/>
    <x v="2"/>
    <n v="92"/>
    <x v="6"/>
    <s v="C"/>
    <s v="Pass"/>
  </r>
  <r>
    <x v="622"/>
    <x v="44"/>
    <x v="0"/>
    <x v="4"/>
    <s v="A"/>
    <x v="2"/>
    <x v="20"/>
    <n v="65"/>
    <x v="1"/>
    <s v="B"/>
    <s v="Pass"/>
  </r>
  <r>
    <x v="623"/>
    <x v="47"/>
    <x v="0"/>
    <x v="2"/>
    <s v="A"/>
    <x v="0"/>
    <x v="60"/>
    <n v="99"/>
    <x v="1"/>
    <s v="F"/>
    <s v="Pass"/>
  </r>
  <r>
    <x v="624"/>
    <x v="88"/>
    <x v="1"/>
    <x v="5"/>
    <s v="C"/>
    <x v="2"/>
    <x v="33"/>
    <n v="84"/>
    <x v="3"/>
    <s v="B"/>
    <s v="Pass"/>
  </r>
  <r>
    <x v="625"/>
    <x v="34"/>
    <x v="0"/>
    <x v="0"/>
    <s v="C"/>
    <x v="3"/>
    <x v="64"/>
    <n v="100"/>
    <x v="6"/>
    <s v="C"/>
    <s v="Pass"/>
  </r>
  <r>
    <x v="626"/>
    <x v="13"/>
    <x v="0"/>
    <x v="4"/>
    <s v="A"/>
    <x v="2"/>
    <x v="15"/>
    <n v="81"/>
    <x v="4"/>
    <s v="F"/>
    <s v="Pass"/>
  </r>
  <r>
    <x v="627"/>
    <x v="75"/>
    <x v="1"/>
    <x v="1"/>
    <s v="B"/>
    <x v="5"/>
    <x v="56"/>
    <n v="62"/>
    <x v="4"/>
    <s v="F"/>
    <s v="Pass"/>
  </r>
  <r>
    <x v="628"/>
    <x v="46"/>
    <x v="0"/>
    <x v="2"/>
    <s v="A"/>
    <x v="2"/>
    <x v="54"/>
    <n v="77"/>
    <x v="1"/>
    <s v="C"/>
    <s v="Pass"/>
  </r>
  <r>
    <x v="629"/>
    <x v="74"/>
    <x v="0"/>
    <x v="0"/>
    <s v="B"/>
    <x v="3"/>
    <x v="2"/>
    <n v="83"/>
    <x v="4"/>
    <s v="C"/>
    <s v="Pass"/>
  </r>
  <r>
    <x v="630"/>
    <x v="15"/>
    <x v="1"/>
    <x v="0"/>
    <s v="C"/>
    <x v="2"/>
    <x v="31"/>
    <n v="99"/>
    <x v="5"/>
    <s v="A"/>
    <s v="Pass"/>
  </r>
  <r>
    <x v="631"/>
    <x v="31"/>
    <x v="1"/>
    <x v="4"/>
    <s v="C"/>
    <x v="1"/>
    <x v="60"/>
    <n v="65"/>
    <x v="4"/>
    <s v="F"/>
    <s v="Pass"/>
  </r>
  <r>
    <x v="632"/>
    <x v="19"/>
    <x v="1"/>
    <x v="2"/>
    <s v="B"/>
    <x v="2"/>
    <x v="46"/>
    <n v="95"/>
    <x v="0"/>
    <s v="A+"/>
    <s v="Pass"/>
  </r>
  <r>
    <x v="633"/>
    <x v="35"/>
    <x v="0"/>
    <x v="1"/>
    <s v="C"/>
    <x v="0"/>
    <x v="46"/>
    <n v="83"/>
    <x v="6"/>
    <s v="A+"/>
    <s v="Pass"/>
  </r>
  <r>
    <x v="634"/>
    <x v="68"/>
    <x v="0"/>
    <x v="5"/>
    <s v="B"/>
    <x v="5"/>
    <x v="56"/>
    <n v="67"/>
    <x v="5"/>
    <s v="F"/>
    <s v="Pass"/>
  </r>
  <r>
    <x v="635"/>
    <x v="34"/>
    <x v="1"/>
    <x v="6"/>
    <s v="A"/>
    <x v="3"/>
    <x v="19"/>
    <n v="68"/>
    <x v="0"/>
    <s v="F"/>
    <s v="Pass"/>
  </r>
  <r>
    <x v="636"/>
    <x v="79"/>
    <x v="1"/>
    <x v="0"/>
    <s v="C"/>
    <x v="0"/>
    <x v="36"/>
    <n v="91"/>
    <x v="6"/>
    <s v="C"/>
    <s v="Pass"/>
  </r>
  <r>
    <x v="637"/>
    <x v="38"/>
    <x v="1"/>
    <x v="6"/>
    <s v="A"/>
    <x v="1"/>
    <x v="50"/>
    <n v="68"/>
    <x v="2"/>
    <s v="B"/>
    <s v="Pass"/>
  </r>
  <r>
    <x v="638"/>
    <x v="10"/>
    <x v="1"/>
    <x v="0"/>
    <s v="A"/>
    <x v="1"/>
    <x v="3"/>
    <n v="94"/>
    <x v="6"/>
    <s v="B"/>
    <s v="Pass"/>
  </r>
  <r>
    <x v="639"/>
    <x v="63"/>
    <x v="1"/>
    <x v="6"/>
    <s v="B"/>
    <x v="5"/>
    <x v="13"/>
    <n v="94"/>
    <x v="1"/>
    <s v="F"/>
    <s v="Pass"/>
  </r>
  <r>
    <x v="640"/>
    <x v="32"/>
    <x v="0"/>
    <x v="6"/>
    <s v="B"/>
    <x v="2"/>
    <x v="55"/>
    <n v="90"/>
    <x v="5"/>
    <s v="F"/>
    <s v="Pass"/>
  </r>
  <r>
    <x v="641"/>
    <x v="55"/>
    <x v="1"/>
    <x v="5"/>
    <s v="B"/>
    <x v="1"/>
    <x v="3"/>
    <n v="92"/>
    <x v="0"/>
    <s v="B"/>
    <s v="Pass"/>
  </r>
  <r>
    <x v="642"/>
    <x v="1"/>
    <x v="0"/>
    <x v="0"/>
    <s v="A"/>
    <x v="5"/>
    <x v="24"/>
    <n v="91"/>
    <x v="3"/>
    <s v="F"/>
    <s v="Pass"/>
  </r>
  <r>
    <x v="643"/>
    <x v="12"/>
    <x v="0"/>
    <x v="3"/>
    <s v="C"/>
    <x v="4"/>
    <x v="35"/>
    <n v="96"/>
    <x v="5"/>
    <s v="B"/>
    <s v="Pass"/>
  </r>
  <r>
    <x v="644"/>
    <x v="14"/>
    <x v="1"/>
    <x v="5"/>
    <s v="C"/>
    <x v="3"/>
    <x v="49"/>
    <n v="75"/>
    <x v="6"/>
    <s v="B"/>
    <s v="Pass"/>
  </r>
  <r>
    <x v="645"/>
    <x v="9"/>
    <x v="1"/>
    <x v="6"/>
    <s v="A"/>
    <x v="5"/>
    <x v="32"/>
    <n v="80"/>
    <x v="1"/>
    <s v="A+"/>
    <s v="Pass"/>
  </r>
  <r>
    <x v="646"/>
    <x v="95"/>
    <x v="0"/>
    <x v="2"/>
    <s v="B"/>
    <x v="0"/>
    <x v="28"/>
    <n v="74"/>
    <x v="6"/>
    <s v="B"/>
    <s v="Pass"/>
  </r>
  <r>
    <x v="647"/>
    <x v="54"/>
    <x v="0"/>
    <x v="1"/>
    <s v="A"/>
    <x v="3"/>
    <x v="6"/>
    <n v="83"/>
    <x v="2"/>
    <s v="B"/>
    <s v="Pass"/>
  </r>
  <r>
    <x v="648"/>
    <x v="57"/>
    <x v="1"/>
    <x v="2"/>
    <s v="A"/>
    <x v="0"/>
    <x v="62"/>
    <n v="91"/>
    <x v="4"/>
    <s v="F"/>
    <s v="Pass"/>
  </r>
  <r>
    <x v="649"/>
    <x v="29"/>
    <x v="0"/>
    <x v="4"/>
    <s v="A"/>
    <x v="0"/>
    <x v="57"/>
    <n v="97"/>
    <x v="3"/>
    <s v="A+"/>
    <s v="Pass"/>
  </r>
  <r>
    <x v="650"/>
    <x v="55"/>
    <x v="0"/>
    <x v="0"/>
    <s v="B"/>
    <x v="4"/>
    <x v="0"/>
    <n v="71"/>
    <x v="1"/>
    <s v="F"/>
    <s v="Pass"/>
  </r>
  <r>
    <x v="651"/>
    <x v="69"/>
    <x v="0"/>
    <x v="4"/>
    <s v="A"/>
    <x v="4"/>
    <x v="61"/>
    <n v="72"/>
    <x v="1"/>
    <s v="F"/>
    <s v="Pass"/>
  </r>
  <r>
    <x v="652"/>
    <x v="30"/>
    <x v="1"/>
    <x v="2"/>
    <s v="B"/>
    <x v="2"/>
    <x v="14"/>
    <n v="63"/>
    <x v="0"/>
    <s v="C"/>
    <s v="Pass"/>
  </r>
  <r>
    <x v="653"/>
    <x v="47"/>
    <x v="1"/>
    <x v="5"/>
    <s v="B"/>
    <x v="1"/>
    <x v="46"/>
    <n v="88"/>
    <x v="2"/>
    <s v="A+"/>
    <s v="Pass"/>
  </r>
  <r>
    <x v="654"/>
    <x v="68"/>
    <x v="0"/>
    <x v="1"/>
    <s v="A"/>
    <x v="2"/>
    <x v="12"/>
    <n v="78"/>
    <x v="4"/>
    <s v="A+"/>
    <s v="Pass"/>
  </r>
  <r>
    <x v="655"/>
    <x v="48"/>
    <x v="1"/>
    <x v="1"/>
    <s v="A"/>
    <x v="0"/>
    <x v="52"/>
    <n v="63"/>
    <x v="5"/>
    <s v="F"/>
    <s v="Pass"/>
  </r>
  <r>
    <x v="656"/>
    <x v="40"/>
    <x v="1"/>
    <x v="0"/>
    <s v="B"/>
    <x v="0"/>
    <x v="13"/>
    <n v="92"/>
    <x v="2"/>
    <s v="F"/>
    <s v="Pass"/>
  </r>
  <r>
    <x v="657"/>
    <x v="24"/>
    <x v="1"/>
    <x v="0"/>
    <s v="A"/>
    <x v="1"/>
    <x v="30"/>
    <n v="61"/>
    <x v="1"/>
    <s v="F"/>
    <s v="Pass"/>
  </r>
  <r>
    <x v="658"/>
    <x v="57"/>
    <x v="0"/>
    <x v="2"/>
    <s v="A"/>
    <x v="0"/>
    <x v="53"/>
    <n v="100"/>
    <x v="4"/>
    <s v="C"/>
    <s v="Pass"/>
  </r>
  <r>
    <x v="659"/>
    <x v="39"/>
    <x v="0"/>
    <x v="5"/>
    <s v="B"/>
    <x v="1"/>
    <x v="15"/>
    <n v="81"/>
    <x v="1"/>
    <s v="F"/>
    <s v="Pass"/>
  </r>
  <r>
    <x v="660"/>
    <x v="46"/>
    <x v="1"/>
    <x v="2"/>
    <s v="B"/>
    <x v="1"/>
    <x v="30"/>
    <n v="96"/>
    <x v="4"/>
    <s v="F"/>
    <s v="Pass"/>
  </r>
  <r>
    <x v="661"/>
    <x v="28"/>
    <x v="1"/>
    <x v="6"/>
    <s v="C"/>
    <x v="2"/>
    <x v="5"/>
    <n v="91"/>
    <x v="0"/>
    <s v="F"/>
    <s v="Pass"/>
  </r>
  <r>
    <x v="662"/>
    <x v="31"/>
    <x v="0"/>
    <x v="4"/>
    <s v="C"/>
    <x v="2"/>
    <x v="28"/>
    <n v="92"/>
    <x v="4"/>
    <s v="B"/>
    <s v="Pass"/>
  </r>
  <r>
    <x v="663"/>
    <x v="26"/>
    <x v="0"/>
    <x v="2"/>
    <s v="B"/>
    <x v="1"/>
    <x v="10"/>
    <n v="85"/>
    <x v="5"/>
    <s v="A+"/>
    <s v="Pass"/>
  </r>
  <r>
    <x v="664"/>
    <x v="16"/>
    <x v="0"/>
    <x v="5"/>
    <s v="B"/>
    <x v="3"/>
    <x v="9"/>
    <n v="88"/>
    <x v="5"/>
    <s v="A+"/>
    <s v="Pass"/>
  </r>
  <r>
    <x v="665"/>
    <x v="90"/>
    <x v="0"/>
    <x v="1"/>
    <s v="B"/>
    <x v="2"/>
    <x v="50"/>
    <n v="61"/>
    <x v="5"/>
    <s v="B"/>
    <s v="Pass"/>
  </r>
  <r>
    <x v="666"/>
    <x v="54"/>
    <x v="1"/>
    <x v="6"/>
    <s v="A"/>
    <x v="2"/>
    <x v="47"/>
    <n v="87"/>
    <x v="4"/>
    <s v="A"/>
    <s v="Pass"/>
  </r>
  <r>
    <x v="667"/>
    <x v="37"/>
    <x v="0"/>
    <x v="5"/>
    <s v="A"/>
    <x v="0"/>
    <x v="18"/>
    <n v="73"/>
    <x v="0"/>
    <s v="A"/>
    <s v="Pass"/>
  </r>
  <r>
    <x v="668"/>
    <x v="62"/>
    <x v="0"/>
    <x v="6"/>
    <s v="A"/>
    <x v="4"/>
    <x v="21"/>
    <n v="71"/>
    <x v="5"/>
    <s v="A+"/>
    <s v="Pass"/>
  </r>
  <r>
    <x v="669"/>
    <x v="28"/>
    <x v="1"/>
    <x v="1"/>
    <s v="A"/>
    <x v="4"/>
    <x v="34"/>
    <n v="100"/>
    <x v="4"/>
    <s v="F"/>
    <s v="Pass"/>
  </r>
  <r>
    <x v="670"/>
    <x v="59"/>
    <x v="0"/>
    <x v="1"/>
    <s v="B"/>
    <x v="4"/>
    <x v="35"/>
    <n v="98"/>
    <x v="5"/>
    <s v="B"/>
    <s v="Pass"/>
  </r>
  <r>
    <x v="671"/>
    <x v="88"/>
    <x v="1"/>
    <x v="1"/>
    <s v="C"/>
    <x v="1"/>
    <x v="46"/>
    <n v="83"/>
    <x v="5"/>
    <s v="A+"/>
    <s v="Pass"/>
  </r>
  <r>
    <x v="672"/>
    <x v="58"/>
    <x v="0"/>
    <x v="0"/>
    <s v="A"/>
    <x v="4"/>
    <x v="15"/>
    <n v="70"/>
    <x v="1"/>
    <s v="F"/>
    <s v="Pass"/>
  </r>
  <r>
    <x v="673"/>
    <x v="17"/>
    <x v="0"/>
    <x v="1"/>
    <s v="B"/>
    <x v="5"/>
    <x v="10"/>
    <n v="80"/>
    <x v="5"/>
    <s v="A+"/>
    <s v="Pass"/>
  </r>
  <r>
    <x v="674"/>
    <x v="68"/>
    <x v="0"/>
    <x v="4"/>
    <s v="C"/>
    <x v="3"/>
    <x v="15"/>
    <n v="83"/>
    <x v="3"/>
    <s v="F"/>
    <s v="Pass"/>
  </r>
  <r>
    <x v="675"/>
    <x v="55"/>
    <x v="0"/>
    <x v="0"/>
    <s v="C"/>
    <x v="3"/>
    <x v="49"/>
    <n v="82"/>
    <x v="6"/>
    <s v="B"/>
    <s v="Pass"/>
  </r>
  <r>
    <x v="676"/>
    <x v="86"/>
    <x v="0"/>
    <x v="2"/>
    <s v="A"/>
    <x v="2"/>
    <x v="30"/>
    <n v="68"/>
    <x v="3"/>
    <s v="F"/>
    <s v="Pass"/>
  </r>
  <r>
    <x v="677"/>
    <x v="18"/>
    <x v="1"/>
    <x v="2"/>
    <s v="B"/>
    <x v="1"/>
    <x v="4"/>
    <n v="66"/>
    <x v="6"/>
    <s v="F"/>
    <s v="Pass"/>
  </r>
  <r>
    <x v="678"/>
    <x v="89"/>
    <x v="0"/>
    <x v="0"/>
    <s v="B"/>
    <x v="5"/>
    <x v="59"/>
    <n v="84"/>
    <x v="1"/>
    <s v="F"/>
    <s v="Pass"/>
  </r>
  <r>
    <x v="679"/>
    <x v="62"/>
    <x v="1"/>
    <x v="0"/>
    <s v="B"/>
    <x v="1"/>
    <x v="58"/>
    <n v="60"/>
    <x v="4"/>
    <s v="C"/>
    <s v="Pass"/>
  </r>
  <r>
    <x v="680"/>
    <x v="57"/>
    <x v="1"/>
    <x v="0"/>
    <s v="A"/>
    <x v="0"/>
    <x v="56"/>
    <n v="84"/>
    <x v="5"/>
    <s v="F"/>
    <s v="Pass"/>
  </r>
  <r>
    <x v="681"/>
    <x v="20"/>
    <x v="0"/>
    <x v="1"/>
    <s v="B"/>
    <x v="5"/>
    <x v="41"/>
    <n v="67"/>
    <x v="0"/>
    <s v="F"/>
    <s v="Pass"/>
  </r>
  <r>
    <x v="682"/>
    <x v="71"/>
    <x v="0"/>
    <x v="4"/>
    <s v="C"/>
    <x v="2"/>
    <x v="54"/>
    <n v="70"/>
    <x v="1"/>
    <s v="C"/>
    <s v="Pass"/>
  </r>
  <r>
    <x v="683"/>
    <x v="42"/>
    <x v="1"/>
    <x v="5"/>
    <s v="A"/>
    <x v="1"/>
    <x v="60"/>
    <n v="62"/>
    <x v="2"/>
    <s v="F"/>
    <s v="Pass"/>
  </r>
  <r>
    <x v="684"/>
    <x v="20"/>
    <x v="0"/>
    <x v="1"/>
    <s v="A"/>
    <x v="0"/>
    <x v="63"/>
    <n v="91"/>
    <x v="3"/>
    <s v="A"/>
    <s v="Pass"/>
  </r>
  <r>
    <x v="685"/>
    <x v="21"/>
    <x v="0"/>
    <x v="1"/>
    <s v="B"/>
    <x v="4"/>
    <x v="38"/>
    <n v="87"/>
    <x v="5"/>
    <s v="A+"/>
    <s v="Pass"/>
  </r>
  <r>
    <x v="686"/>
    <x v="29"/>
    <x v="1"/>
    <x v="2"/>
    <s v="A"/>
    <x v="4"/>
    <x v="38"/>
    <n v="81"/>
    <x v="4"/>
    <s v="A+"/>
    <s v="Pass"/>
  </r>
  <r>
    <x v="687"/>
    <x v="11"/>
    <x v="1"/>
    <x v="2"/>
    <s v="A"/>
    <x v="5"/>
    <x v="10"/>
    <n v="82"/>
    <x v="5"/>
    <s v="A+"/>
    <s v="Pass"/>
  </r>
  <r>
    <x v="688"/>
    <x v="48"/>
    <x v="1"/>
    <x v="1"/>
    <s v="A"/>
    <x v="3"/>
    <x v="61"/>
    <n v="84"/>
    <x v="0"/>
    <s v="F"/>
    <s v="Pass"/>
  </r>
  <r>
    <x v="689"/>
    <x v="19"/>
    <x v="0"/>
    <x v="6"/>
    <s v="A"/>
    <x v="2"/>
    <x v="48"/>
    <n v="70"/>
    <x v="1"/>
    <s v="C"/>
    <s v="Pass"/>
  </r>
  <r>
    <x v="690"/>
    <x v="72"/>
    <x v="0"/>
    <x v="6"/>
    <s v="B"/>
    <x v="3"/>
    <x v="6"/>
    <n v="87"/>
    <x v="1"/>
    <s v="B"/>
    <s v="Pass"/>
  </r>
  <r>
    <x v="691"/>
    <x v="15"/>
    <x v="0"/>
    <x v="6"/>
    <s v="B"/>
    <x v="5"/>
    <x v="12"/>
    <n v="92"/>
    <x v="3"/>
    <s v="A+"/>
    <s v="Pass"/>
  </r>
  <r>
    <x v="692"/>
    <x v="14"/>
    <x v="1"/>
    <x v="3"/>
    <s v="B"/>
    <x v="4"/>
    <x v="14"/>
    <n v="98"/>
    <x v="4"/>
    <s v="C"/>
    <s v="Pass"/>
  </r>
  <r>
    <x v="693"/>
    <x v="22"/>
    <x v="0"/>
    <x v="4"/>
    <s v="B"/>
    <x v="0"/>
    <x v="61"/>
    <n v="96"/>
    <x v="5"/>
    <s v="F"/>
    <s v="Pass"/>
  </r>
  <r>
    <x v="694"/>
    <x v="70"/>
    <x v="1"/>
    <x v="6"/>
    <s v="C"/>
    <x v="3"/>
    <x v="28"/>
    <n v="70"/>
    <x v="3"/>
    <s v="B"/>
    <s v="Pass"/>
  </r>
  <r>
    <x v="695"/>
    <x v="50"/>
    <x v="1"/>
    <x v="2"/>
    <s v="B"/>
    <x v="2"/>
    <x v="30"/>
    <n v="84"/>
    <x v="6"/>
    <s v="F"/>
    <s v="Pass"/>
  </r>
  <r>
    <x v="696"/>
    <x v="47"/>
    <x v="0"/>
    <x v="6"/>
    <s v="B"/>
    <x v="3"/>
    <x v="3"/>
    <n v="75"/>
    <x v="0"/>
    <s v="B"/>
    <s v="Pass"/>
  </r>
  <r>
    <x v="697"/>
    <x v="18"/>
    <x v="0"/>
    <x v="1"/>
    <s v="C"/>
    <x v="1"/>
    <x v="62"/>
    <n v="74"/>
    <x v="3"/>
    <s v="F"/>
    <s v="Pass"/>
  </r>
  <r>
    <x v="698"/>
    <x v="43"/>
    <x v="1"/>
    <x v="3"/>
    <s v="C"/>
    <x v="0"/>
    <x v="6"/>
    <n v="81"/>
    <x v="0"/>
    <s v="B"/>
    <s v="Pass"/>
  </r>
  <r>
    <x v="699"/>
    <x v="56"/>
    <x v="0"/>
    <x v="6"/>
    <s v="C"/>
    <x v="4"/>
    <x v="58"/>
    <n v="61"/>
    <x v="5"/>
    <s v="C"/>
    <s v="Pass"/>
  </r>
  <r>
    <x v="700"/>
    <x v="67"/>
    <x v="1"/>
    <x v="3"/>
    <s v="A"/>
    <x v="0"/>
    <x v="14"/>
    <n v="92"/>
    <x v="4"/>
    <s v="C"/>
    <s v="Pass"/>
  </r>
  <r>
    <x v="701"/>
    <x v="94"/>
    <x v="1"/>
    <x v="2"/>
    <s v="B"/>
    <x v="1"/>
    <x v="49"/>
    <n v="81"/>
    <x v="4"/>
    <s v="B"/>
    <s v="Pass"/>
  </r>
  <r>
    <x v="702"/>
    <x v="73"/>
    <x v="1"/>
    <x v="6"/>
    <s v="B"/>
    <x v="2"/>
    <x v="32"/>
    <n v="93"/>
    <x v="4"/>
    <s v="A+"/>
    <s v="Pass"/>
  </r>
  <r>
    <x v="703"/>
    <x v="93"/>
    <x v="0"/>
    <x v="5"/>
    <s v="A"/>
    <x v="2"/>
    <x v="54"/>
    <n v="88"/>
    <x v="3"/>
    <s v="C"/>
    <s v="Pass"/>
  </r>
  <r>
    <x v="704"/>
    <x v="2"/>
    <x v="1"/>
    <x v="5"/>
    <s v="C"/>
    <x v="0"/>
    <x v="65"/>
    <n v="68"/>
    <x v="1"/>
    <s v="F"/>
    <s v="Pass"/>
  </r>
  <r>
    <x v="705"/>
    <x v="72"/>
    <x v="0"/>
    <x v="0"/>
    <s v="B"/>
    <x v="3"/>
    <x v="8"/>
    <n v="78"/>
    <x v="5"/>
    <s v="A"/>
    <s v="Pass"/>
  </r>
  <r>
    <x v="706"/>
    <x v="6"/>
    <x v="1"/>
    <x v="1"/>
    <s v="C"/>
    <x v="1"/>
    <x v="52"/>
    <n v="95"/>
    <x v="0"/>
    <s v="F"/>
    <s v="Pass"/>
  </r>
  <r>
    <x v="707"/>
    <x v="79"/>
    <x v="0"/>
    <x v="4"/>
    <s v="A"/>
    <x v="0"/>
    <x v="53"/>
    <n v="99"/>
    <x v="2"/>
    <s v="C"/>
    <s v="Pass"/>
  </r>
  <r>
    <x v="708"/>
    <x v="95"/>
    <x v="1"/>
    <x v="0"/>
    <s v="A"/>
    <x v="5"/>
    <x v="7"/>
    <n v="99"/>
    <x v="2"/>
    <s v="F"/>
    <s v="Pass"/>
  </r>
  <r>
    <x v="709"/>
    <x v="75"/>
    <x v="0"/>
    <x v="3"/>
    <s v="A"/>
    <x v="3"/>
    <x v="29"/>
    <n v="100"/>
    <x v="4"/>
    <s v="B"/>
    <s v="Pass"/>
  </r>
  <r>
    <x v="710"/>
    <x v="12"/>
    <x v="1"/>
    <x v="2"/>
    <s v="C"/>
    <x v="4"/>
    <x v="8"/>
    <n v="60"/>
    <x v="5"/>
    <s v="A"/>
    <s v="Pass"/>
  </r>
  <r>
    <x v="711"/>
    <x v="65"/>
    <x v="1"/>
    <x v="1"/>
    <s v="A"/>
    <x v="5"/>
    <x v="37"/>
    <n v="98"/>
    <x v="5"/>
    <s v="F"/>
    <s v="Pass"/>
  </r>
  <r>
    <x v="712"/>
    <x v="72"/>
    <x v="0"/>
    <x v="4"/>
    <s v="B"/>
    <x v="2"/>
    <x v="36"/>
    <n v="63"/>
    <x v="6"/>
    <s v="C"/>
    <s v="Pass"/>
  </r>
  <r>
    <x v="713"/>
    <x v="6"/>
    <x v="0"/>
    <x v="0"/>
    <s v="C"/>
    <x v="5"/>
    <x v="3"/>
    <n v="64"/>
    <x v="1"/>
    <s v="B"/>
    <s v="Pass"/>
  </r>
  <r>
    <x v="714"/>
    <x v="54"/>
    <x v="0"/>
    <x v="0"/>
    <s v="A"/>
    <x v="1"/>
    <x v="39"/>
    <n v="92"/>
    <x v="0"/>
    <s v="A"/>
    <s v="Pass"/>
  </r>
  <r>
    <x v="715"/>
    <x v="87"/>
    <x v="0"/>
    <x v="3"/>
    <s v="B"/>
    <x v="1"/>
    <x v="27"/>
    <n v="77"/>
    <x v="1"/>
    <s v="B"/>
    <s v="Pass"/>
  </r>
  <r>
    <x v="716"/>
    <x v="35"/>
    <x v="1"/>
    <x v="5"/>
    <s v="B"/>
    <x v="2"/>
    <x v="24"/>
    <n v="95"/>
    <x v="2"/>
    <s v="F"/>
    <s v="Pass"/>
  </r>
  <r>
    <x v="717"/>
    <x v="24"/>
    <x v="1"/>
    <x v="1"/>
    <s v="A"/>
    <x v="1"/>
    <x v="6"/>
    <n v="82"/>
    <x v="2"/>
    <s v="B"/>
    <s v="Pass"/>
  </r>
  <r>
    <x v="718"/>
    <x v="54"/>
    <x v="0"/>
    <x v="4"/>
    <s v="C"/>
    <x v="5"/>
    <x v="57"/>
    <n v="96"/>
    <x v="4"/>
    <s v="A+"/>
    <s v="Pass"/>
  </r>
  <r>
    <x v="719"/>
    <x v="91"/>
    <x v="1"/>
    <x v="2"/>
    <s v="B"/>
    <x v="0"/>
    <x v="51"/>
    <n v="79"/>
    <x v="5"/>
    <s v="A+"/>
    <s v="Pass"/>
  </r>
  <r>
    <x v="720"/>
    <x v="82"/>
    <x v="0"/>
    <x v="0"/>
    <s v="C"/>
    <x v="1"/>
    <x v="8"/>
    <n v="87"/>
    <x v="2"/>
    <s v="A"/>
    <s v="Pass"/>
  </r>
  <r>
    <x v="721"/>
    <x v="0"/>
    <x v="0"/>
    <x v="6"/>
    <s v="B"/>
    <x v="4"/>
    <x v="50"/>
    <n v="61"/>
    <x v="5"/>
    <s v="B"/>
    <s v="Pass"/>
  </r>
  <r>
    <x v="722"/>
    <x v="75"/>
    <x v="0"/>
    <x v="4"/>
    <s v="A"/>
    <x v="5"/>
    <x v="4"/>
    <n v="64"/>
    <x v="3"/>
    <s v="F"/>
    <s v="Pass"/>
  </r>
  <r>
    <x v="723"/>
    <x v="90"/>
    <x v="1"/>
    <x v="3"/>
    <s v="B"/>
    <x v="0"/>
    <x v="60"/>
    <n v="64"/>
    <x v="4"/>
    <s v="F"/>
    <s v="Pass"/>
  </r>
  <r>
    <x v="724"/>
    <x v="75"/>
    <x v="1"/>
    <x v="6"/>
    <s v="C"/>
    <x v="2"/>
    <x v="21"/>
    <n v="74"/>
    <x v="6"/>
    <s v="A+"/>
    <s v="Pass"/>
  </r>
  <r>
    <x v="725"/>
    <x v="55"/>
    <x v="1"/>
    <x v="1"/>
    <s v="B"/>
    <x v="2"/>
    <x v="30"/>
    <n v="75"/>
    <x v="4"/>
    <s v="F"/>
    <s v="Pass"/>
  </r>
  <r>
    <x v="726"/>
    <x v="74"/>
    <x v="0"/>
    <x v="6"/>
    <s v="A"/>
    <x v="5"/>
    <x v="49"/>
    <n v="93"/>
    <x v="1"/>
    <s v="B"/>
    <s v="Pass"/>
  </r>
  <r>
    <x v="727"/>
    <x v="26"/>
    <x v="0"/>
    <x v="0"/>
    <s v="A"/>
    <x v="0"/>
    <x v="60"/>
    <n v="60"/>
    <x v="3"/>
    <s v="F"/>
    <s v="Pass"/>
  </r>
  <r>
    <x v="728"/>
    <x v="82"/>
    <x v="1"/>
    <x v="5"/>
    <s v="B"/>
    <x v="5"/>
    <x v="13"/>
    <n v="66"/>
    <x v="4"/>
    <s v="F"/>
    <s v="Pass"/>
  </r>
  <r>
    <x v="729"/>
    <x v="47"/>
    <x v="0"/>
    <x v="5"/>
    <s v="C"/>
    <x v="1"/>
    <x v="35"/>
    <n v="76"/>
    <x v="5"/>
    <s v="B"/>
    <s v="Pass"/>
  </r>
  <r>
    <x v="730"/>
    <x v="33"/>
    <x v="1"/>
    <x v="5"/>
    <s v="A"/>
    <x v="2"/>
    <x v="29"/>
    <n v="80"/>
    <x v="2"/>
    <s v="B"/>
    <s v="Pass"/>
  </r>
  <r>
    <x v="731"/>
    <x v="45"/>
    <x v="0"/>
    <x v="5"/>
    <s v="B"/>
    <x v="1"/>
    <x v="3"/>
    <n v="69"/>
    <x v="4"/>
    <s v="B"/>
    <s v="Pass"/>
  </r>
  <r>
    <x v="732"/>
    <x v="45"/>
    <x v="1"/>
    <x v="0"/>
    <s v="B"/>
    <x v="3"/>
    <x v="63"/>
    <n v="74"/>
    <x v="1"/>
    <s v="A"/>
    <s v="Pass"/>
  </r>
  <r>
    <x v="733"/>
    <x v="33"/>
    <x v="1"/>
    <x v="4"/>
    <s v="A"/>
    <x v="3"/>
    <x v="32"/>
    <n v="82"/>
    <x v="4"/>
    <s v="A+"/>
    <s v="Pass"/>
  </r>
  <r>
    <x v="734"/>
    <x v="38"/>
    <x v="1"/>
    <x v="1"/>
    <s v="C"/>
    <x v="5"/>
    <x v="47"/>
    <n v="87"/>
    <x v="4"/>
    <s v="A"/>
    <s v="Pass"/>
  </r>
  <r>
    <x v="735"/>
    <x v="54"/>
    <x v="1"/>
    <x v="0"/>
    <s v="B"/>
    <x v="3"/>
    <x v="24"/>
    <n v="69"/>
    <x v="0"/>
    <s v="F"/>
    <s v="Pass"/>
  </r>
  <r>
    <x v="736"/>
    <x v="0"/>
    <x v="0"/>
    <x v="0"/>
    <s v="B"/>
    <x v="2"/>
    <x v="7"/>
    <n v="88"/>
    <x v="0"/>
    <s v="F"/>
    <s v="Pass"/>
  </r>
  <r>
    <x v="737"/>
    <x v="45"/>
    <x v="0"/>
    <x v="5"/>
    <s v="B"/>
    <x v="2"/>
    <x v="33"/>
    <n v="87"/>
    <x v="1"/>
    <s v="B"/>
    <s v="Pass"/>
  </r>
  <r>
    <x v="738"/>
    <x v="61"/>
    <x v="1"/>
    <x v="4"/>
    <s v="A"/>
    <x v="3"/>
    <x v="65"/>
    <n v="75"/>
    <x v="2"/>
    <s v="F"/>
    <s v="Pass"/>
  </r>
  <r>
    <x v="739"/>
    <x v="17"/>
    <x v="0"/>
    <x v="5"/>
    <s v="C"/>
    <x v="3"/>
    <x v="30"/>
    <n v="83"/>
    <x v="3"/>
    <s v="F"/>
    <s v="Pass"/>
  </r>
  <r>
    <x v="740"/>
    <x v="89"/>
    <x v="1"/>
    <x v="5"/>
    <s v="B"/>
    <x v="3"/>
    <x v="44"/>
    <n v="84"/>
    <x v="2"/>
    <s v="F"/>
    <s v="Pass"/>
  </r>
  <r>
    <x v="741"/>
    <x v="70"/>
    <x v="1"/>
    <x v="6"/>
    <s v="A"/>
    <x v="1"/>
    <x v="46"/>
    <n v="94"/>
    <x v="6"/>
    <s v="A+"/>
    <s v="Pass"/>
  </r>
  <r>
    <x v="742"/>
    <x v="31"/>
    <x v="1"/>
    <x v="1"/>
    <s v="A"/>
    <x v="2"/>
    <x v="40"/>
    <n v="70"/>
    <x v="6"/>
    <s v="F"/>
    <s v="Pass"/>
  </r>
  <r>
    <x v="743"/>
    <x v="83"/>
    <x v="1"/>
    <x v="5"/>
    <s v="B"/>
    <x v="0"/>
    <x v="29"/>
    <n v="87"/>
    <x v="4"/>
    <s v="B"/>
    <s v="Pass"/>
  </r>
  <r>
    <x v="744"/>
    <x v="10"/>
    <x v="0"/>
    <x v="1"/>
    <s v="A"/>
    <x v="1"/>
    <x v="7"/>
    <n v="87"/>
    <x v="0"/>
    <s v="F"/>
    <s v="Pass"/>
  </r>
  <r>
    <x v="745"/>
    <x v="77"/>
    <x v="0"/>
    <x v="4"/>
    <s v="C"/>
    <x v="0"/>
    <x v="51"/>
    <n v="84"/>
    <x v="0"/>
    <s v="A+"/>
    <s v="Pass"/>
  </r>
  <r>
    <x v="746"/>
    <x v="26"/>
    <x v="0"/>
    <x v="5"/>
    <s v="C"/>
    <x v="3"/>
    <x v="42"/>
    <n v="90"/>
    <x v="1"/>
    <s v="C"/>
    <s v="Pass"/>
  </r>
  <r>
    <x v="747"/>
    <x v="90"/>
    <x v="0"/>
    <x v="4"/>
    <s v="B"/>
    <x v="1"/>
    <x v="9"/>
    <n v="63"/>
    <x v="1"/>
    <s v="A+"/>
    <s v="Pass"/>
  </r>
  <r>
    <x v="748"/>
    <x v="4"/>
    <x v="1"/>
    <x v="4"/>
    <s v="C"/>
    <x v="2"/>
    <x v="36"/>
    <n v="65"/>
    <x v="6"/>
    <s v="C"/>
    <s v="Pass"/>
  </r>
  <r>
    <x v="749"/>
    <x v="49"/>
    <x v="1"/>
    <x v="6"/>
    <s v="B"/>
    <x v="4"/>
    <x v="25"/>
    <n v="85"/>
    <x v="3"/>
    <s v="F"/>
    <s v="Pass"/>
  </r>
  <r>
    <x v="750"/>
    <x v="60"/>
    <x v="0"/>
    <x v="3"/>
    <s v="A"/>
    <x v="0"/>
    <x v="53"/>
    <n v="97"/>
    <x v="3"/>
    <s v="C"/>
    <s v="Pass"/>
  </r>
  <r>
    <x v="751"/>
    <x v="0"/>
    <x v="1"/>
    <x v="3"/>
    <s v="C"/>
    <x v="2"/>
    <x v="45"/>
    <n v="61"/>
    <x v="3"/>
    <s v="A"/>
    <s v="Pass"/>
  </r>
  <r>
    <x v="752"/>
    <x v="58"/>
    <x v="1"/>
    <x v="0"/>
    <s v="C"/>
    <x v="5"/>
    <x v="40"/>
    <n v="79"/>
    <x v="6"/>
    <s v="F"/>
    <s v="Pass"/>
  </r>
  <r>
    <x v="753"/>
    <x v="20"/>
    <x v="1"/>
    <x v="1"/>
    <s v="B"/>
    <x v="0"/>
    <x v="35"/>
    <n v="100"/>
    <x v="2"/>
    <s v="B"/>
    <s v="Pass"/>
  </r>
  <r>
    <x v="754"/>
    <x v="27"/>
    <x v="1"/>
    <x v="3"/>
    <s v="B"/>
    <x v="5"/>
    <x v="23"/>
    <n v="91"/>
    <x v="6"/>
    <s v="A"/>
    <s v="Pass"/>
  </r>
  <r>
    <x v="755"/>
    <x v="95"/>
    <x v="1"/>
    <x v="5"/>
    <s v="B"/>
    <x v="5"/>
    <x v="53"/>
    <n v="90"/>
    <x v="0"/>
    <s v="C"/>
    <s v="Pass"/>
  </r>
  <r>
    <x v="756"/>
    <x v="26"/>
    <x v="1"/>
    <x v="3"/>
    <s v="C"/>
    <x v="5"/>
    <x v="6"/>
    <n v="83"/>
    <x v="6"/>
    <s v="B"/>
    <s v="Pass"/>
  </r>
  <r>
    <x v="757"/>
    <x v="71"/>
    <x v="0"/>
    <x v="4"/>
    <s v="C"/>
    <x v="5"/>
    <x v="22"/>
    <n v="68"/>
    <x v="4"/>
    <s v="A+"/>
    <s v="Pass"/>
  </r>
  <r>
    <x v="758"/>
    <x v="52"/>
    <x v="0"/>
    <x v="6"/>
    <s v="C"/>
    <x v="4"/>
    <x v="61"/>
    <n v="81"/>
    <x v="4"/>
    <s v="F"/>
    <s v="Pass"/>
  </r>
  <r>
    <x v="759"/>
    <x v="54"/>
    <x v="1"/>
    <x v="2"/>
    <s v="B"/>
    <x v="0"/>
    <x v="34"/>
    <n v="66"/>
    <x v="6"/>
    <s v="F"/>
    <s v="Pass"/>
  </r>
  <r>
    <x v="760"/>
    <x v="83"/>
    <x v="1"/>
    <x v="4"/>
    <s v="A"/>
    <x v="5"/>
    <x v="19"/>
    <n v="79"/>
    <x v="2"/>
    <s v="F"/>
    <s v="Pass"/>
  </r>
  <r>
    <x v="761"/>
    <x v="2"/>
    <x v="1"/>
    <x v="5"/>
    <s v="A"/>
    <x v="2"/>
    <x v="35"/>
    <n v="87"/>
    <x v="0"/>
    <s v="B"/>
    <s v="Pass"/>
  </r>
  <r>
    <x v="762"/>
    <x v="90"/>
    <x v="1"/>
    <x v="2"/>
    <s v="A"/>
    <x v="3"/>
    <x v="24"/>
    <n v="100"/>
    <x v="4"/>
    <s v="F"/>
    <s v="Pass"/>
  </r>
  <r>
    <x v="763"/>
    <x v="51"/>
    <x v="1"/>
    <x v="6"/>
    <s v="C"/>
    <x v="5"/>
    <x v="26"/>
    <n v="87"/>
    <x v="2"/>
    <s v="F"/>
    <s v="Pass"/>
  </r>
  <r>
    <x v="764"/>
    <x v="5"/>
    <x v="1"/>
    <x v="6"/>
    <s v="B"/>
    <x v="5"/>
    <x v="46"/>
    <n v="69"/>
    <x v="1"/>
    <s v="A+"/>
    <s v="Pass"/>
  </r>
  <r>
    <x v="765"/>
    <x v="61"/>
    <x v="1"/>
    <x v="6"/>
    <s v="B"/>
    <x v="0"/>
    <x v="54"/>
    <n v="76"/>
    <x v="2"/>
    <s v="C"/>
    <s v="Pass"/>
  </r>
  <r>
    <x v="766"/>
    <x v="33"/>
    <x v="0"/>
    <x v="3"/>
    <s v="C"/>
    <x v="5"/>
    <x v="22"/>
    <n v="67"/>
    <x v="6"/>
    <s v="A+"/>
    <s v="Pass"/>
  </r>
  <r>
    <x v="767"/>
    <x v="44"/>
    <x v="0"/>
    <x v="5"/>
    <s v="B"/>
    <x v="0"/>
    <x v="14"/>
    <n v="98"/>
    <x v="1"/>
    <s v="C"/>
    <s v="Pass"/>
  </r>
  <r>
    <x v="768"/>
    <x v="60"/>
    <x v="1"/>
    <x v="4"/>
    <s v="C"/>
    <x v="3"/>
    <x v="2"/>
    <n v="83"/>
    <x v="2"/>
    <s v="C"/>
    <s v="Pass"/>
  </r>
  <r>
    <x v="769"/>
    <x v="26"/>
    <x v="1"/>
    <x v="5"/>
    <s v="B"/>
    <x v="1"/>
    <x v="45"/>
    <n v="75"/>
    <x v="1"/>
    <s v="A"/>
    <s v="Pass"/>
  </r>
  <r>
    <x v="770"/>
    <x v="55"/>
    <x v="1"/>
    <x v="4"/>
    <s v="C"/>
    <x v="4"/>
    <x v="6"/>
    <n v="100"/>
    <x v="3"/>
    <s v="B"/>
    <s v="Pass"/>
  </r>
  <r>
    <x v="771"/>
    <x v="17"/>
    <x v="0"/>
    <x v="3"/>
    <s v="B"/>
    <x v="3"/>
    <x v="59"/>
    <n v="77"/>
    <x v="6"/>
    <s v="F"/>
    <s v="Pass"/>
  </r>
  <r>
    <x v="772"/>
    <x v="64"/>
    <x v="1"/>
    <x v="4"/>
    <s v="A"/>
    <x v="3"/>
    <x v="30"/>
    <n v="71"/>
    <x v="6"/>
    <s v="F"/>
    <s v="Pass"/>
  </r>
  <r>
    <x v="773"/>
    <x v="33"/>
    <x v="0"/>
    <x v="4"/>
    <s v="A"/>
    <x v="0"/>
    <x v="23"/>
    <n v="62"/>
    <x v="4"/>
    <s v="A"/>
    <s v="Pass"/>
  </r>
  <r>
    <x v="774"/>
    <x v="63"/>
    <x v="0"/>
    <x v="0"/>
    <s v="B"/>
    <x v="5"/>
    <x v="56"/>
    <n v="98"/>
    <x v="1"/>
    <s v="F"/>
    <s v="Pass"/>
  </r>
  <r>
    <x v="775"/>
    <x v="2"/>
    <x v="1"/>
    <x v="1"/>
    <s v="A"/>
    <x v="2"/>
    <x v="61"/>
    <n v="86"/>
    <x v="2"/>
    <s v="F"/>
    <s v="Pass"/>
  </r>
  <r>
    <x v="776"/>
    <x v="1"/>
    <x v="0"/>
    <x v="6"/>
    <s v="B"/>
    <x v="5"/>
    <x v="0"/>
    <n v="67"/>
    <x v="0"/>
    <s v="F"/>
    <s v="Pass"/>
  </r>
  <r>
    <x v="777"/>
    <x v="0"/>
    <x v="1"/>
    <x v="4"/>
    <s v="C"/>
    <x v="5"/>
    <x v="51"/>
    <n v="84"/>
    <x v="2"/>
    <s v="A+"/>
    <s v="Pass"/>
  </r>
  <r>
    <x v="778"/>
    <x v="69"/>
    <x v="1"/>
    <x v="2"/>
    <s v="A"/>
    <x v="3"/>
    <x v="34"/>
    <n v="73"/>
    <x v="1"/>
    <s v="F"/>
    <s v="Pass"/>
  </r>
  <r>
    <x v="779"/>
    <x v="13"/>
    <x v="0"/>
    <x v="4"/>
    <s v="C"/>
    <x v="5"/>
    <x v="40"/>
    <n v="97"/>
    <x v="4"/>
    <s v="F"/>
    <s v="Pass"/>
  </r>
  <r>
    <x v="780"/>
    <x v="89"/>
    <x v="1"/>
    <x v="0"/>
    <s v="C"/>
    <x v="4"/>
    <x v="11"/>
    <n v="64"/>
    <x v="3"/>
    <s v="F"/>
    <s v="Pass"/>
  </r>
  <r>
    <x v="781"/>
    <x v="59"/>
    <x v="1"/>
    <x v="0"/>
    <s v="C"/>
    <x v="4"/>
    <x v="17"/>
    <n v="92"/>
    <x v="6"/>
    <s v="A"/>
    <s v="Pass"/>
  </r>
  <r>
    <x v="782"/>
    <x v="38"/>
    <x v="1"/>
    <x v="0"/>
    <s v="A"/>
    <x v="1"/>
    <x v="25"/>
    <n v="61"/>
    <x v="5"/>
    <s v="F"/>
    <s v="Pass"/>
  </r>
  <r>
    <x v="783"/>
    <x v="37"/>
    <x v="1"/>
    <x v="1"/>
    <s v="A"/>
    <x v="1"/>
    <x v="33"/>
    <n v="82"/>
    <x v="0"/>
    <s v="B"/>
    <s v="Pass"/>
  </r>
  <r>
    <x v="784"/>
    <x v="69"/>
    <x v="0"/>
    <x v="3"/>
    <s v="B"/>
    <x v="3"/>
    <x v="40"/>
    <n v="88"/>
    <x v="3"/>
    <s v="F"/>
    <s v="Pass"/>
  </r>
  <r>
    <x v="785"/>
    <x v="13"/>
    <x v="0"/>
    <x v="5"/>
    <s v="B"/>
    <x v="0"/>
    <x v="11"/>
    <n v="100"/>
    <x v="4"/>
    <s v="F"/>
    <s v="Pass"/>
  </r>
  <r>
    <x v="786"/>
    <x v="83"/>
    <x v="0"/>
    <x v="2"/>
    <s v="A"/>
    <x v="0"/>
    <x v="57"/>
    <n v="84"/>
    <x v="3"/>
    <s v="A+"/>
    <s v="Pass"/>
  </r>
  <r>
    <x v="787"/>
    <x v="35"/>
    <x v="1"/>
    <x v="4"/>
    <s v="C"/>
    <x v="2"/>
    <x v="29"/>
    <n v="67"/>
    <x v="4"/>
    <s v="B"/>
    <s v="Pass"/>
  </r>
  <r>
    <x v="788"/>
    <x v="48"/>
    <x v="1"/>
    <x v="0"/>
    <s v="C"/>
    <x v="4"/>
    <x v="51"/>
    <n v="84"/>
    <x v="1"/>
    <s v="A+"/>
    <s v="Pass"/>
  </r>
  <r>
    <x v="789"/>
    <x v="3"/>
    <x v="1"/>
    <x v="1"/>
    <s v="A"/>
    <x v="5"/>
    <x v="48"/>
    <n v="87"/>
    <x v="1"/>
    <s v="C"/>
    <s v="Pass"/>
  </r>
  <r>
    <x v="790"/>
    <x v="63"/>
    <x v="1"/>
    <x v="2"/>
    <s v="A"/>
    <x v="1"/>
    <x v="9"/>
    <n v="69"/>
    <x v="5"/>
    <s v="A+"/>
    <s v="Pass"/>
  </r>
  <r>
    <x v="791"/>
    <x v="16"/>
    <x v="0"/>
    <x v="6"/>
    <s v="A"/>
    <x v="4"/>
    <x v="11"/>
    <n v="73"/>
    <x v="0"/>
    <s v="F"/>
    <s v="Pass"/>
  </r>
  <r>
    <x v="792"/>
    <x v="21"/>
    <x v="0"/>
    <x v="4"/>
    <s v="B"/>
    <x v="4"/>
    <x v="55"/>
    <n v="66"/>
    <x v="1"/>
    <s v="F"/>
    <s v="Pass"/>
  </r>
  <r>
    <x v="793"/>
    <x v="83"/>
    <x v="0"/>
    <x v="4"/>
    <s v="C"/>
    <x v="1"/>
    <x v="58"/>
    <n v="84"/>
    <x v="0"/>
    <s v="C"/>
    <s v="Pass"/>
  </r>
  <r>
    <x v="794"/>
    <x v="19"/>
    <x v="1"/>
    <x v="1"/>
    <s v="B"/>
    <x v="4"/>
    <x v="18"/>
    <n v="62"/>
    <x v="2"/>
    <s v="A"/>
    <s v="Pass"/>
  </r>
  <r>
    <x v="795"/>
    <x v="79"/>
    <x v="0"/>
    <x v="0"/>
    <s v="B"/>
    <x v="4"/>
    <x v="46"/>
    <n v="70"/>
    <x v="5"/>
    <s v="A+"/>
    <s v="Pass"/>
  </r>
  <r>
    <x v="796"/>
    <x v="60"/>
    <x v="0"/>
    <x v="6"/>
    <s v="C"/>
    <x v="3"/>
    <x v="43"/>
    <n v="70"/>
    <x v="2"/>
    <s v="A"/>
    <s v="Pass"/>
  </r>
  <r>
    <x v="797"/>
    <x v="62"/>
    <x v="1"/>
    <x v="1"/>
    <s v="C"/>
    <x v="1"/>
    <x v="45"/>
    <n v="65"/>
    <x v="2"/>
    <s v="A"/>
    <s v="Pass"/>
  </r>
  <r>
    <x v="798"/>
    <x v="5"/>
    <x v="1"/>
    <x v="2"/>
    <s v="B"/>
    <x v="1"/>
    <x v="23"/>
    <n v="95"/>
    <x v="4"/>
    <s v="A"/>
    <s v="Pass"/>
  </r>
  <r>
    <x v="799"/>
    <x v="38"/>
    <x v="1"/>
    <x v="2"/>
    <s v="B"/>
    <x v="2"/>
    <x v="60"/>
    <n v="97"/>
    <x v="2"/>
    <s v="F"/>
    <s v="Pass"/>
  </r>
  <r>
    <x v="800"/>
    <x v="7"/>
    <x v="1"/>
    <x v="5"/>
    <s v="C"/>
    <x v="3"/>
    <x v="43"/>
    <n v="100"/>
    <x v="1"/>
    <s v="A"/>
    <s v="Pass"/>
  </r>
  <r>
    <x v="801"/>
    <x v="74"/>
    <x v="1"/>
    <x v="0"/>
    <s v="C"/>
    <x v="5"/>
    <x v="8"/>
    <n v="83"/>
    <x v="1"/>
    <s v="A"/>
    <s v="Pass"/>
  </r>
  <r>
    <x v="802"/>
    <x v="90"/>
    <x v="0"/>
    <x v="5"/>
    <s v="A"/>
    <x v="3"/>
    <x v="60"/>
    <n v="91"/>
    <x v="2"/>
    <s v="F"/>
    <s v="Pass"/>
  </r>
  <r>
    <x v="803"/>
    <x v="21"/>
    <x v="0"/>
    <x v="6"/>
    <s v="A"/>
    <x v="0"/>
    <x v="37"/>
    <n v="65"/>
    <x v="6"/>
    <s v="F"/>
    <s v="Pass"/>
  </r>
  <r>
    <x v="804"/>
    <x v="66"/>
    <x v="0"/>
    <x v="2"/>
    <s v="A"/>
    <x v="0"/>
    <x v="46"/>
    <n v="98"/>
    <x v="5"/>
    <s v="A+"/>
    <s v="Pass"/>
  </r>
  <r>
    <x v="805"/>
    <x v="4"/>
    <x v="0"/>
    <x v="4"/>
    <s v="C"/>
    <x v="3"/>
    <x v="44"/>
    <n v="97"/>
    <x v="1"/>
    <s v="F"/>
    <s v="Pass"/>
  </r>
  <r>
    <x v="806"/>
    <x v="40"/>
    <x v="0"/>
    <x v="0"/>
    <s v="B"/>
    <x v="3"/>
    <x v="4"/>
    <n v="95"/>
    <x v="2"/>
    <s v="F"/>
    <s v="Pass"/>
  </r>
  <r>
    <x v="807"/>
    <x v="6"/>
    <x v="0"/>
    <x v="5"/>
    <s v="B"/>
    <x v="4"/>
    <x v="42"/>
    <n v="89"/>
    <x v="6"/>
    <s v="C"/>
    <s v="Pass"/>
  </r>
  <r>
    <x v="808"/>
    <x v="43"/>
    <x v="0"/>
    <x v="0"/>
    <s v="C"/>
    <x v="0"/>
    <x v="44"/>
    <n v="70"/>
    <x v="6"/>
    <s v="F"/>
    <s v="Pass"/>
  </r>
  <r>
    <x v="809"/>
    <x v="15"/>
    <x v="1"/>
    <x v="0"/>
    <s v="B"/>
    <x v="1"/>
    <x v="48"/>
    <n v="90"/>
    <x v="3"/>
    <s v="C"/>
    <s v="Pass"/>
  </r>
  <r>
    <x v="810"/>
    <x v="95"/>
    <x v="1"/>
    <x v="4"/>
    <s v="A"/>
    <x v="1"/>
    <x v="59"/>
    <n v="94"/>
    <x v="3"/>
    <s v="F"/>
    <s v="Pass"/>
  </r>
  <r>
    <x v="811"/>
    <x v="16"/>
    <x v="1"/>
    <x v="0"/>
    <s v="A"/>
    <x v="1"/>
    <x v="2"/>
    <n v="79"/>
    <x v="0"/>
    <s v="C"/>
    <s v="Pass"/>
  </r>
  <r>
    <x v="812"/>
    <x v="60"/>
    <x v="1"/>
    <x v="4"/>
    <s v="A"/>
    <x v="1"/>
    <x v="39"/>
    <n v="76"/>
    <x v="2"/>
    <s v="A"/>
    <s v="Pass"/>
  </r>
  <r>
    <x v="813"/>
    <x v="71"/>
    <x v="0"/>
    <x v="1"/>
    <s v="A"/>
    <x v="2"/>
    <x v="66"/>
    <n v="79"/>
    <x v="6"/>
    <s v="F"/>
    <s v="Fail"/>
  </r>
  <r>
    <x v="814"/>
    <x v="24"/>
    <x v="1"/>
    <x v="2"/>
    <s v="A"/>
    <x v="2"/>
    <x v="0"/>
    <n v="71"/>
    <x v="5"/>
    <s v="F"/>
    <s v="Pass"/>
  </r>
  <r>
    <x v="815"/>
    <x v="20"/>
    <x v="0"/>
    <x v="6"/>
    <s v="A"/>
    <x v="2"/>
    <x v="38"/>
    <n v="92"/>
    <x v="5"/>
    <s v="A+"/>
    <s v="Pass"/>
  </r>
  <r>
    <x v="816"/>
    <x v="42"/>
    <x v="0"/>
    <x v="1"/>
    <s v="C"/>
    <x v="2"/>
    <x v="67"/>
    <n v="81"/>
    <x v="2"/>
    <s v="F"/>
    <s v="Fail"/>
  </r>
  <r>
    <x v="817"/>
    <x v="38"/>
    <x v="1"/>
    <x v="5"/>
    <s v="A"/>
    <x v="1"/>
    <x v="21"/>
    <n v="92"/>
    <x v="2"/>
    <s v="A+"/>
    <s v="Pass"/>
  </r>
  <r>
    <x v="818"/>
    <x v="25"/>
    <x v="0"/>
    <x v="2"/>
    <s v="B"/>
    <x v="1"/>
    <x v="42"/>
    <n v="90"/>
    <x v="6"/>
    <s v="C"/>
    <s v="Pass"/>
  </r>
  <r>
    <x v="819"/>
    <x v="19"/>
    <x v="0"/>
    <x v="0"/>
    <s v="A"/>
    <x v="4"/>
    <x v="39"/>
    <n v="83"/>
    <x v="1"/>
    <s v="A"/>
    <s v="Pass"/>
  </r>
  <r>
    <x v="820"/>
    <x v="5"/>
    <x v="1"/>
    <x v="1"/>
    <s v="B"/>
    <x v="1"/>
    <x v="18"/>
    <n v="82"/>
    <x v="0"/>
    <s v="A"/>
    <s v="Pass"/>
  </r>
  <r>
    <x v="821"/>
    <x v="14"/>
    <x v="0"/>
    <x v="3"/>
    <s v="B"/>
    <x v="5"/>
    <x v="2"/>
    <n v="81"/>
    <x v="5"/>
    <s v="C"/>
    <s v="Pass"/>
  </r>
  <r>
    <x v="822"/>
    <x v="86"/>
    <x v="0"/>
    <x v="3"/>
    <s v="B"/>
    <x v="2"/>
    <x v="32"/>
    <n v="88"/>
    <x v="5"/>
    <s v="A+"/>
    <s v="Pass"/>
  </r>
  <r>
    <x v="823"/>
    <x v="29"/>
    <x v="1"/>
    <x v="4"/>
    <s v="A"/>
    <x v="2"/>
    <x v="37"/>
    <n v="83"/>
    <x v="3"/>
    <s v="F"/>
    <s v="Pass"/>
  </r>
  <r>
    <x v="824"/>
    <x v="24"/>
    <x v="0"/>
    <x v="5"/>
    <s v="A"/>
    <x v="2"/>
    <x v="40"/>
    <n v="99"/>
    <x v="4"/>
    <s v="F"/>
    <s v="Pass"/>
  </r>
  <r>
    <x v="825"/>
    <x v="88"/>
    <x v="1"/>
    <x v="0"/>
    <s v="B"/>
    <x v="5"/>
    <x v="26"/>
    <n v="93"/>
    <x v="6"/>
    <s v="F"/>
    <s v="Pass"/>
  </r>
  <r>
    <x v="826"/>
    <x v="81"/>
    <x v="1"/>
    <x v="2"/>
    <s v="A"/>
    <x v="1"/>
    <x v="1"/>
    <n v="100"/>
    <x v="4"/>
    <s v="A+"/>
    <s v="Pass"/>
  </r>
  <r>
    <x v="827"/>
    <x v="9"/>
    <x v="1"/>
    <x v="5"/>
    <s v="C"/>
    <x v="1"/>
    <x v="1"/>
    <n v="94"/>
    <x v="2"/>
    <s v="A+"/>
    <s v="Pass"/>
  </r>
  <r>
    <x v="828"/>
    <x v="7"/>
    <x v="0"/>
    <x v="1"/>
    <s v="C"/>
    <x v="3"/>
    <x v="40"/>
    <n v="83"/>
    <x v="0"/>
    <s v="F"/>
    <s v="Pass"/>
  </r>
  <r>
    <x v="829"/>
    <x v="28"/>
    <x v="0"/>
    <x v="2"/>
    <s v="C"/>
    <x v="5"/>
    <x v="31"/>
    <n v="100"/>
    <x v="1"/>
    <s v="A"/>
    <s v="Pass"/>
  </r>
  <r>
    <x v="830"/>
    <x v="75"/>
    <x v="0"/>
    <x v="4"/>
    <s v="B"/>
    <x v="0"/>
    <x v="15"/>
    <n v="89"/>
    <x v="0"/>
    <s v="F"/>
    <s v="Pass"/>
  </r>
  <r>
    <x v="831"/>
    <x v="59"/>
    <x v="0"/>
    <x v="2"/>
    <s v="B"/>
    <x v="1"/>
    <x v="46"/>
    <n v="96"/>
    <x v="5"/>
    <s v="A+"/>
    <s v="Pass"/>
  </r>
  <r>
    <x v="832"/>
    <x v="70"/>
    <x v="1"/>
    <x v="2"/>
    <s v="C"/>
    <x v="1"/>
    <x v="30"/>
    <n v="78"/>
    <x v="5"/>
    <s v="F"/>
    <s v="Pass"/>
  </r>
  <r>
    <x v="833"/>
    <x v="72"/>
    <x v="0"/>
    <x v="4"/>
    <s v="A"/>
    <x v="4"/>
    <x v="64"/>
    <n v="86"/>
    <x v="0"/>
    <s v="C"/>
    <s v="Pass"/>
  </r>
  <r>
    <x v="834"/>
    <x v="40"/>
    <x v="1"/>
    <x v="3"/>
    <s v="C"/>
    <x v="3"/>
    <x v="57"/>
    <n v="86"/>
    <x v="1"/>
    <s v="A+"/>
    <s v="Pass"/>
  </r>
  <r>
    <x v="835"/>
    <x v="76"/>
    <x v="1"/>
    <x v="2"/>
    <s v="A"/>
    <x v="0"/>
    <x v="44"/>
    <n v="90"/>
    <x v="3"/>
    <s v="F"/>
    <s v="Pass"/>
  </r>
  <r>
    <x v="836"/>
    <x v="57"/>
    <x v="0"/>
    <x v="2"/>
    <s v="B"/>
    <x v="0"/>
    <x v="38"/>
    <n v="81"/>
    <x v="4"/>
    <s v="A+"/>
    <s v="Pass"/>
  </r>
  <r>
    <x v="837"/>
    <x v="23"/>
    <x v="0"/>
    <x v="2"/>
    <s v="A"/>
    <x v="0"/>
    <x v="10"/>
    <n v="66"/>
    <x v="3"/>
    <s v="A+"/>
    <s v="Pass"/>
  </r>
  <r>
    <x v="838"/>
    <x v="44"/>
    <x v="0"/>
    <x v="3"/>
    <s v="B"/>
    <x v="1"/>
    <x v="23"/>
    <n v="73"/>
    <x v="0"/>
    <s v="A"/>
    <s v="Pass"/>
  </r>
  <r>
    <x v="839"/>
    <x v="17"/>
    <x v="1"/>
    <x v="1"/>
    <s v="A"/>
    <x v="2"/>
    <x v="19"/>
    <n v="93"/>
    <x v="4"/>
    <s v="F"/>
    <s v="Pass"/>
  </r>
  <r>
    <x v="840"/>
    <x v="41"/>
    <x v="1"/>
    <x v="0"/>
    <s v="B"/>
    <x v="3"/>
    <x v="6"/>
    <n v="75"/>
    <x v="3"/>
    <s v="B"/>
    <s v="Pass"/>
  </r>
  <r>
    <x v="841"/>
    <x v="7"/>
    <x v="0"/>
    <x v="4"/>
    <s v="A"/>
    <x v="5"/>
    <x v="14"/>
    <n v="93"/>
    <x v="3"/>
    <s v="C"/>
    <s v="Pass"/>
  </r>
  <r>
    <x v="842"/>
    <x v="57"/>
    <x v="0"/>
    <x v="2"/>
    <s v="B"/>
    <x v="2"/>
    <x v="34"/>
    <n v="96"/>
    <x v="5"/>
    <s v="F"/>
    <s v="Pass"/>
  </r>
  <r>
    <x v="843"/>
    <x v="7"/>
    <x v="1"/>
    <x v="1"/>
    <s v="C"/>
    <x v="0"/>
    <x v="15"/>
    <n v="68"/>
    <x v="2"/>
    <s v="F"/>
    <s v="Pass"/>
  </r>
  <r>
    <x v="844"/>
    <x v="68"/>
    <x v="0"/>
    <x v="4"/>
    <s v="B"/>
    <x v="0"/>
    <x v="53"/>
    <n v="85"/>
    <x v="6"/>
    <s v="C"/>
    <s v="Pass"/>
  </r>
  <r>
    <x v="845"/>
    <x v="45"/>
    <x v="0"/>
    <x v="1"/>
    <s v="C"/>
    <x v="5"/>
    <x v="50"/>
    <n v="87"/>
    <x v="6"/>
    <s v="B"/>
    <s v="Pass"/>
  </r>
  <r>
    <x v="846"/>
    <x v="36"/>
    <x v="0"/>
    <x v="3"/>
    <s v="A"/>
    <x v="5"/>
    <x v="58"/>
    <n v="84"/>
    <x v="3"/>
    <s v="C"/>
    <s v="Pass"/>
  </r>
  <r>
    <x v="847"/>
    <x v="36"/>
    <x v="0"/>
    <x v="5"/>
    <s v="B"/>
    <x v="4"/>
    <x v="50"/>
    <n v="88"/>
    <x v="6"/>
    <s v="B"/>
    <s v="Pass"/>
  </r>
  <r>
    <x v="848"/>
    <x v="34"/>
    <x v="0"/>
    <x v="4"/>
    <s v="C"/>
    <x v="1"/>
    <x v="10"/>
    <n v="67"/>
    <x v="4"/>
    <s v="A+"/>
    <s v="Pass"/>
  </r>
  <r>
    <x v="849"/>
    <x v="45"/>
    <x v="0"/>
    <x v="6"/>
    <s v="B"/>
    <x v="2"/>
    <x v="25"/>
    <n v="76"/>
    <x v="5"/>
    <s v="F"/>
    <s v="Pass"/>
  </r>
  <r>
    <x v="850"/>
    <x v="24"/>
    <x v="1"/>
    <x v="3"/>
    <s v="A"/>
    <x v="3"/>
    <x v="24"/>
    <n v="65"/>
    <x v="5"/>
    <s v="F"/>
    <s v="Pass"/>
  </r>
  <r>
    <x v="851"/>
    <x v="91"/>
    <x v="0"/>
    <x v="1"/>
    <s v="B"/>
    <x v="3"/>
    <x v="60"/>
    <n v="73"/>
    <x v="1"/>
    <s v="F"/>
    <s v="Pass"/>
  </r>
  <r>
    <x v="852"/>
    <x v="47"/>
    <x v="0"/>
    <x v="6"/>
    <s v="C"/>
    <x v="2"/>
    <x v="12"/>
    <n v="82"/>
    <x v="5"/>
    <s v="A+"/>
    <s v="Pass"/>
  </r>
  <r>
    <x v="853"/>
    <x v="86"/>
    <x v="1"/>
    <x v="1"/>
    <s v="B"/>
    <x v="0"/>
    <x v="28"/>
    <n v="97"/>
    <x v="3"/>
    <s v="B"/>
    <s v="Pass"/>
  </r>
  <r>
    <x v="854"/>
    <x v="33"/>
    <x v="1"/>
    <x v="5"/>
    <s v="B"/>
    <x v="5"/>
    <x v="15"/>
    <n v="77"/>
    <x v="1"/>
    <s v="F"/>
    <s v="Pass"/>
  </r>
  <r>
    <x v="855"/>
    <x v="2"/>
    <x v="0"/>
    <x v="6"/>
    <s v="C"/>
    <x v="5"/>
    <x v="52"/>
    <n v="74"/>
    <x v="0"/>
    <s v="F"/>
    <s v="Pass"/>
  </r>
  <r>
    <x v="856"/>
    <x v="9"/>
    <x v="1"/>
    <x v="2"/>
    <s v="B"/>
    <x v="2"/>
    <x v="34"/>
    <n v="68"/>
    <x v="5"/>
    <s v="F"/>
    <s v="Pass"/>
  </r>
  <r>
    <x v="857"/>
    <x v="64"/>
    <x v="0"/>
    <x v="0"/>
    <s v="B"/>
    <x v="0"/>
    <x v="63"/>
    <n v="88"/>
    <x v="1"/>
    <s v="A"/>
    <s v="Pass"/>
  </r>
  <r>
    <x v="858"/>
    <x v="69"/>
    <x v="0"/>
    <x v="5"/>
    <s v="C"/>
    <x v="4"/>
    <x v="44"/>
    <n v="90"/>
    <x v="4"/>
    <s v="F"/>
    <s v="Pass"/>
  </r>
  <r>
    <x v="859"/>
    <x v="80"/>
    <x v="0"/>
    <x v="0"/>
    <s v="A"/>
    <x v="4"/>
    <x v="43"/>
    <n v="86"/>
    <x v="3"/>
    <s v="A"/>
    <s v="Pass"/>
  </r>
  <r>
    <x v="860"/>
    <x v="35"/>
    <x v="1"/>
    <x v="4"/>
    <s v="A"/>
    <x v="3"/>
    <x v="44"/>
    <n v="75"/>
    <x v="3"/>
    <s v="F"/>
    <s v="Pass"/>
  </r>
  <r>
    <x v="861"/>
    <x v="43"/>
    <x v="1"/>
    <x v="5"/>
    <s v="C"/>
    <x v="0"/>
    <x v="42"/>
    <n v="88"/>
    <x v="5"/>
    <s v="C"/>
    <s v="Pass"/>
  </r>
  <r>
    <x v="862"/>
    <x v="61"/>
    <x v="0"/>
    <x v="0"/>
    <s v="C"/>
    <x v="2"/>
    <x v="5"/>
    <n v="87"/>
    <x v="2"/>
    <s v="F"/>
    <s v="Pass"/>
  </r>
  <r>
    <x v="863"/>
    <x v="27"/>
    <x v="1"/>
    <x v="2"/>
    <s v="A"/>
    <x v="5"/>
    <x v="18"/>
    <n v="82"/>
    <x v="6"/>
    <s v="A"/>
    <s v="Pass"/>
  </r>
  <r>
    <x v="864"/>
    <x v="48"/>
    <x v="1"/>
    <x v="2"/>
    <s v="A"/>
    <x v="3"/>
    <x v="3"/>
    <n v="93"/>
    <x v="0"/>
    <s v="B"/>
    <s v="Pass"/>
  </r>
  <r>
    <x v="865"/>
    <x v="0"/>
    <x v="0"/>
    <x v="1"/>
    <s v="A"/>
    <x v="5"/>
    <x v="45"/>
    <n v="89"/>
    <x v="3"/>
    <s v="A"/>
    <s v="Pass"/>
  </r>
  <r>
    <x v="866"/>
    <x v="93"/>
    <x v="0"/>
    <x v="6"/>
    <s v="C"/>
    <x v="0"/>
    <x v="49"/>
    <n v="88"/>
    <x v="1"/>
    <s v="B"/>
    <s v="Pass"/>
  </r>
  <r>
    <x v="867"/>
    <x v="7"/>
    <x v="0"/>
    <x v="6"/>
    <s v="B"/>
    <x v="5"/>
    <x v="33"/>
    <n v="63"/>
    <x v="4"/>
    <s v="B"/>
    <s v="Pass"/>
  </r>
  <r>
    <x v="868"/>
    <x v="28"/>
    <x v="0"/>
    <x v="1"/>
    <s v="A"/>
    <x v="4"/>
    <x v="64"/>
    <n v="74"/>
    <x v="5"/>
    <s v="C"/>
    <s v="Pass"/>
  </r>
  <r>
    <x v="869"/>
    <x v="65"/>
    <x v="0"/>
    <x v="3"/>
    <s v="A"/>
    <x v="0"/>
    <x v="36"/>
    <n v="91"/>
    <x v="5"/>
    <s v="C"/>
    <s v="Pass"/>
  </r>
  <r>
    <x v="870"/>
    <x v="77"/>
    <x v="1"/>
    <x v="4"/>
    <s v="C"/>
    <x v="4"/>
    <x v="3"/>
    <n v="83"/>
    <x v="2"/>
    <s v="B"/>
    <s v="Pass"/>
  </r>
  <r>
    <x v="871"/>
    <x v="72"/>
    <x v="0"/>
    <x v="3"/>
    <s v="B"/>
    <x v="5"/>
    <x v="42"/>
    <n v="71"/>
    <x v="5"/>
    <s v="C"/>
    <s v="Pass"/>
  </r>
  <r>
    <x v="872"/>
    <x v="0"/>
    <x v="1"/>
    <x v="0"/>
    <s v="A"/>
    <x v="1"/>
    <x v="5"/>
    <n v="76"/>
    <x v="3"/>
    <s v="F"/>
    <s v="Pass"/>
  </r>
  <r>
    <x v="873"/>
    <x v="65"/>
    <x v="1"/>
    <x v="5"/>
    <s v="A"/>
    <x v="5"/>
    <x v="16"/>
    <n v="62"/>
    <x v="1"/>
    <s v="C"/>
    <s v="Pass"/>
  </r>
  <r>
    <x v="874"/>
    <x v="16"/>
    <x v="1"/>
    <x v="1"/>
    <s v="A"/>
    <x v="2"/>
    <x v="35"/>
    <n v="60"/>
    <x v="6"/>
    <s v="B"/>
    <s v="Pass"/>
  </r>
  <r>
    <x v="875"/>
    <x v="75"/>
    <x v="1"/>
    <x v="1"/>
    <s v="B"/>
    <x v="5"/>
    <x v="6"/>
    <n v="91"/>
    <x v="1"/>
    <s v="B"/>
    <s v="Pass"/>
  </r>
  <r>
    <x v="876"/>
    <x v="48"/>
    <x v="1"/>
    <x v="0"/>
    <s v="C"/>
    <x v="2"/>
    <x v="2"/>
    <n v="67"/>
    <x v="2"/>
    <s v="C"/>
    <s v="Pass"/>
  </r>
  <r>
    <x v="877"/>
    <x v="1"/>
    <x v="0"/>
    <x v="1"/>
    <s v="B"/>
    <x v="5"/>
    <x v="30"/>
    <n v="69"/>
    <x v="2"/>
    <s v="F"/>
    <s v="Pass"/>
  </r>
  <r>
    <x v="878"/>
    <x v="11"/>
    <x v="0"/>
    <x v="5"/>
    <s v="C"/>
    <x v="5"/>
    <x v="24"/>
    <n v="88"/>
    <x v="0"/>
    <s v="F"/>
    <s v="Pass"/>
  </r>
  <r>
    <x v="879"/>
    <x v="32"/>
    <x v="0"/>
    <x v="4"/>
    <s v="B"/>
    <x v="5"/>
    <x v="13"/>
    <n v="90"/>
    <x v="4"/>
    <s v="F"/>
    <s v="Pass"/>
  </r>
  <r>
    <x v="880"/>
    <x v="76"/>
    <x v="1"/>
    <x v="3"/>
    <s v="A"/>
    <x v="3"/>
    <x v="46"/>
    <n v="90"/>
    <x v="5"/>
    <s v="A+"/>
    <s v="Pass"/>
  </r>
  <r>
    <x v="881"/>
    <x v="12"/>
    <x v="1"/>
    <x v="2"/>
    <s v="B"/>
    <x v="0"/>
    <x v="3"/>
    <n v="83"/>
    <x v="3"/>
    <s v="B"/>
    <s v="Pass"/>
  </r>
  <r>
    <x v="882"/>
    <x v="1"/>
    <x v="0"/>
    <x v="5"/>
    <s v="B"/>
    <x v="3"/>
    <x v="26"/>
    <n v="81"/>
    <x v="0"/>
    <s v="F"/>
    <s v="Pass"/>
  </r>
  <r>
    <x v="883"/>
    <x v="33"/>
    <x v="0"/>
    <x v="6"/>
    <s v="C"/>
    <x v="3"/>
    <x v="7"/>
    <n v="70"/>
    <x v="5"/>
    <s v="F"/>
    <s v="Pass"/>
  </r>
  <r>
    <x v="884"/>
    <x v="72"/>
    <x v="1"/>
    <x v="6"/>
    <s v="A"/>
    <x v="1"/>
    <x v="17"/>
    <n v="81"/>
    <x v="5"/>
    <s v="A"/>
    <s v="Pass"/>
  </r>
  <r>
    <x v="885"/>
    <x v="66"/>
    <x v="1"/>
    <x v="6"/>
    <s v="B"/>
    <x v="0"/>
    <x v="23"/>
    <n v="80"/>
    <x v="3"/>
    <s v="A"/>
    <s v="Pass"/>
  </r>
  <r>
    <x v="886"/>
    <x v="77"/>
    <x v="1"/>
    <x v="6"/>
    <s v="C"/>
    <x v="2"/>
    <x v="7"/>
    <n v="100"/>
    <x v="3"/>
    <s v="F"/>
    <s v="Pass"/>
  </r>
  <r>
    <x v="887"/>
    <x v="30"/>
    <x v="1"/>
    <x v="4"/>
    <s v="C"/>
    <x v="2"/>
    <x v="27"/>
    <n v="62"/>
    <x v="6"/>
    <s v="B"/>
    <s v="Pass"/>
  </r>
  <r>
    <x v="888"/>
    <x v="75"/>
    <x v="1"/>
    <x v="6"/>
    <s v="B"/>
    <x v="4"/>
    <x v="30"/>
    <n v="72"/>
    <x v="4"/>
    <s v="F"/>
    <s v="Pass"/>
  </r>
  <r>
    <x v="889"/>
    <x v="11"/>
    <x v="0"/>
    <x v="5"/>
    <s v="A"/>
    <x v="3"/>
    <x v="50"/>
    <n v="63"/>
    <x v="1"/>
    <s v="B"/>
    <s v="Pass"/>
  </r>
  <r>
    <x v="890"/>
    <x v="39"/>
    <x v="0"/>
    <x v="0"/>
    <s v="A"/>
    <x v="0"/>
    <x v="61"/>
    <n v="77"/>
    <x v="3"/>
    <s v="F"/>
    <s v="Pass"/>
  </r>
  <r>
    <x v="891"/>
    <x v="68"/>
    <x v="1"/>
    <x v="0"/>
    <s v="B"/>
    <x v="0"/>
    <x v="50"/>
    <n v="74"/>
    <x v="5"/>
    <s v="B"/>
    <s v="Pass"/>
  </r>
  <r>
    <x v="892"/>
    <x v="37"/>
    <x v="0"/>
    <x v="1"/>
    <s v="C"/>
    <x v="1"/>
    <x v="11"/>
    <n v="99"/>
    <x v="0"/>
    <s v="F"/>
    <s v="Pass"/>
  </r>
  <r>
    <x v="893"/>
    <x v="92"/>
    <x v="1"/>
    <x v="2"/>
    <s v="B"/>
    <x v="1"/>
    <x v="45"/>
    <n v="92"/>
    <x v="3"/>
    <s v="A"/>
    <s v="Pass"/>
  </r>
  <r>
    <x v="894"/>
    <x v="42"/>
    <x v="1"/>
    <x v="3"/>
    <s v="B"/>
    <x v="0"/>
    <x v="52"/>
    <n v="98"/>
    <x v="0"/>
    <s v="F"/>
    <s v="Pass"/>
  </r>
  <r>
    <x v="895"/>
    <x v="10"/>
    <x v="1"/>
    <x v="5"/>
    <s v="A"/>
    <x v="4"/>
    <x v="4"/>
    <n v="76"/>
    <x v="4"/>
    <s v="F"/>
    <s v="Pass"/>
  </r>
  <r>
    <x v="896"/>
    <x v="45"/>
    <x v="1"/>
    <x v="4"/>
    <s v="A"/>
    <x v="0"/>
    <x v="19"/>
    <n v="95"/>
    <x v="2"/>
    <s v="F"/>
    <s v="Pass"/>
  </r>
  <r>
    <x v="897"/>
    <x v="2"/>
    <x v="1"/>
    <x v="3"/>
    <s v="B"/>
    <x v="5"/>
    <x v="16"/>
    <n v="70"/>
    <x v="3"/>
    <s v="C"/>
    <s v="Pass"/>
  </r>
  <r>
    <x v="898"/>
    <x v="34"/>
    <x v="0"/>
    <x v="1"/>
    <s v="C"/>
    <x v="0"/>
    <x v="10"/>
    <n v="98"/>
    <x v="3"/>
    <s v="A+"/>
    <s v="Pass"/>
  </r>
  <r>
    <x v="899"/>
    <x v="76"/>
    <x v="0"/>
    <x v="0"/>
    <s v="B"/>
    <x v="3"/>
    <x v="16"/>
    <n v="77"/>
    <x v="1"/>
    <s v="C"/>
    <s v="Pass"/>
  </r>
  <r>
    <x v="900"/>
    <x v="4"/>
    <x v="0"/>
    <x v="4"/>
    <s v="B"/>
    <x v="4"/>
    <x v="3"/>
    <n v="86"/>
    <x v="0"/>
    <s v="B"/>
    <s v="Pass"/>
  </r>
  <r>
    <x v="901"/>
    <x v="43"/>
    <x v="1"/>
    <x v="4"/>
    <s v="C"/>
    <x v="1"/>
    <x v="5"/>
    <n v="93"/>
    <x v="0"/>
    <s v="F"/>
    <s v="Pass"/>
  </r>
  <r>
    <x v="902"/>
    <x v="55"/>
    <x v="1"/>
    <x v="6"/>
    <s v="A"/>
    <x v="3"/>
    <x v="58"/>
    <n v="70"/>
    <x v="1"/>
    <s v="C"/>
    <s v="Pass"/>
  </r>
  <r>
    <x v="903"/>
    <x v="95"/>
    <x v="1"/>
    <x v="3"/>
    <s v="A"/>
    <x v="3"/>
    <x v="49"/>
    <n v="67"/>
    <x v="2"/>
    <s v="B"/>
    <s v="Pass"/>
  </r>
  <r>
    <x v="904"/>
    <x v="33"/>
    <x v="1"/>
    <x v="1"/>
    <s v="C"/>
    <x v="5"/>
    <x v="3"/>
    <n v="65"/>
    <x v="0"/>
    <s v="B"/>
    <s v="Pass"/>
  </r>
  <r>
    <x v="905"/>
    <x v="66"/>
    <x v="0"/>
    <x v="0"/>
    <s v="A"/>
    <x v="2"/>
    <x v="19"/>
    <n v="80"/>
    <x v="0"/>
    <s v="F"/>
    <s v="Pass"/>
  </r>
  <r>
    <x v="906"/>
    <x v="54"/>
    <x v="1"/>
    <x v="3"/>
    <s v="B"/>
    <x v="1"/>
    <x v="12"/>
    <n v="90"/>
    <x v="6"/>
    <s v="A+"/>
    <s v="Pass"/>
  </r>
  <r>
    <x v="907"/>
    <x v="84"/>
    <x v="1"/>
    <x v="0"/>
    <s v="B"/>
    <x v="2"/>
    <x v="64"/>
    <n v="90"/>
    <x v="6"/>
    <s v="C"/>
    <s v="Pass"/>
  </r>
  <r>
    <x v="908"/>
    <x v="48"/>
    <x v="1"/>
    <x v="5"/>
    <s v="B"/>
    <x v="2"/>
    <x v="57"/>
    <n v="86"/>
    <x v="6"/>
    <s v="A+"/>
    <s v="Pass"/>
  </r>
  <r>
    <x v="909"/>
    <x v="11"/>
    <x v="0"/>
    <x v="3"/>
    <s v="A"/>
    <x v="4"/>
    <x v="36"/>
    <n v="93"/>
    <x v="5"/>
    <s v="C"/>
    <s v="Pass"/>
  </r>
  <r>
    <x v="910"/>
    <x v="51"/>
    <x v="1"/>
    <x v="1"/>
    <s v="C"/>
    <x v="1"/>
    <x v="46"/>
    <n v="63"/>
    <x v="6"/>
    <s v="A+"/>
    <s v="Pass"/>
  </r>
  <r>
    <x v="911"/>
    <x v="60"/>
    <x v="1"/>
    <x v="3"/>
    <s v="B"/>
    <x v="3"/>
    <x v="21"/>
    <n v="92"/>
    <x v="3"/>
    <s v="A+"/>
    <s v="Pass"/>
  </r>
  <r>
    <x v="912"/>
    <x v="39"/>
    <x v="0"/>
    <x v="4"/>
    <s v="B"/>
    <x v="0"/>
    <x v="4"/>
    <n v="92"/>
    <x v="6"/>
    <s v="F"/>
    <s v="Pass"/>
  </r>
  <r>
    <x v="913"/>
    <x v="1"/>
    <x v="1"/>
    <x v="2"/>
    <s v="B"/>
    <x v="1"/>
    <x v="68"/>
    <n v="97"/>
    <x v="6"/>
    <s v="F"/>
    <s v="Fail"/>
  </r>
  <r>
    <x v="914"/>
    <x v="25"/>
    <x v="1"/>
    <x v="3"/>
    <s v="A"/>
    <x v="2"/>
    <x v="53"/>
    <n v="72"/>
    <x v="0"/>
    <s v="C"/>
    <s v="Pass"/>
  </r>
  <r>
    <x v="915"/>
    <x v="52"/>
    <x v="0"/>
    <x v="0"/>
    <s v="C"/>
    <x v="0"/>
    <x v="23"/>
    <n v="62"/>
    <x v="0"/>
    <s v="A"/>
    <s v="Pass"/>
  </r>
  <r>
    <x v="916"/>
    <x v="64"/>
    <x v="0"/>
    <x v="6"/>
    <s v="C"/>
    <x v="3"/>
    <x v="61"/>
    <n v="66"/>
    <x v="1"/>
    <s v="F"/>
    <s v="Pass"/>
  </r>
  <r>
    <x v="917"/>
    <x v="76"/>
    <x v="1"/>
    <x v="4"/>
    <s v="B"/>
    <x v="1"/>
    <x v="36"/>
    <n v="81"/>
    <x v="5"/>
    <s v="C"/>
    <s v="Pass"/>
  </r>
  <r>
    <x v="918"/>
    <x v="94"/>
    <x v="1"/>
    <x v="2"/>
    <s v="A"/>
    <x v="3"/>
    <x v="64"/>
    <n v="99"/>
    <x v="3"/>
    <s v="C"/>
    <s v="Pass"/>
  </r>
  <r>
    <x v="919"/>
    <x v="7"/>
    <x v="0"/>
    <x v="1"/>
    <s v="B"/>
    <x v="1"/>
    <x v="28"/>
    <n v="61"/>
    <x v="5"/>
    <s v="B"/>
    <s v="Pass"/>
  </r>
  <r>
    <x v="920"/>
    <x v="15"/>
    <x v="1"/>
    <x v="5"/>
    <s v="C"/>
    <x v="0"/>
    <x v="13"/>
    <n v="77"/>
    <x v="6"/>
    <s v="F"/>
    <s v="Pass"/>
  </r>
  <r>
    <x v="921"/>
    <x v="5"/>
    <x v="0"/>
    <x v="1"/>
    <s v="C"/>
    <x v="3"/>
    <x v="41"/>
    <n v="64"/>
    <x v="5"/>
    <s v="F"/>
    <s v="Pass"/>
  </r>
  <r>
    <x v="922"/>
    <x v="48"/>
    <x v="1"/>
    <x v="5"/>
    <s v="B"/>
    <x v="0"/>
    <x v="59"/>
    <n v="68"/>
    <x v="1"/>
    <s v="F"/>
    <s v="Pass"/>
  </r>
  <r>
    <x v="923"/>
    <x v="65"/>
    <x v="1"/>
    <x v="5"/>
    <s v="A"/>
    <x v="3"/>
    <x v="15"/>
    <n v="69"/>
    <x v="3"/>
    <s v="F"/>
    <s v="Pass"/>
  </r>
  <r>
    <x v="924"/>
    <x v="19"/>
    <x v="1"/>
    <x v="2"/>
    <s v="B"/>
    <x v="4"/>
    <x v="7"/>
    <n v="80"/>
    <x v="5"/>
    <s v="F"/>
    <s v="Pass"/>
  </r>
  <r>
    <x v="925"/>
    <x v="87"/>
    <x v="1"/>
    <x v="2"/>
    <s v="C"/>
    <x v="4"/>
    <x v="6"/>
    <n v="65"/>
    <x v="1"/>
    <s v="B"/>
    <s v="Pass"/>
  </r>
  <r>
    <x v="926"/>
    <x v="79"/>
    <x v="1"/>
    <x v="5"/>
    <s v="A"/>
    <x v="0"/>
    <x v="57"/>
    <n v="90"/>
    <x v="4"/>
    <s v="A+"/>
    <s v="Pass"/>
  </r>
  <r>
    <x v="927"/>
    <x v="79"/>
    <x v="1"/>
    <x v="4"/>
    <s v="B"/>
    <x v="0"/>
    <x v="31"/>
    <n v="92"/>
    <x v="3"/>
    <s v="A"/>
    <s v="Pass"/>
  </r>
  <r>
    <x v="928"/>
    <x v="11"/>
    <x v="1"/>
    <x v="1"/>
    <s v="B"/>
    <x v="5"/>
    <x v="0"/>
    <n v="69"/>
    <x v="6"/>
    <s v="F"/>
    <s v="Pass"/>
  </r>
  <r>
    <x v="929"/>
    <x v="27"/>
    <x v="0"/>
    <x v="0"/>
    <s v="A"/>
    <x v="5"/>
    <x v="54"/>
    <n v="66"/>
    <x v="6"/>
    <s v="C"/>
    <s v="Pass"/>
  </r>
  <r>
    <x v="930"/>
    <x v="27"/>
    <x v="1"/>
    <x v="4"/>
    <s v="A"/>
    <x v="3"/>
    <x v="30"/>
    <n v="100"/>
    <x v="5"/>
    <s v="F"/>
    <s v="Pass"/>
  </r>
  <r>
    <x v="931"/>
    <x v="57"/>
    <x v="1"/>
    <x v="2"/>
    <s v="A"/>
    <x v="2"/>
    <x v="22"/>
    <n v="75"/>
    <x v="2"/>
    <s v="A+"/>
    <s v="Pass"/>
  </r>
  <r>
    <x v="932"/>
    <x v="4"/>
    <x v="1"/>
    <x v="0"/>
    <s v="C"/>
    <x v="2"/>
    <x v="7"/>
    <n v="74"/>
    <x v="5"/>
    <s v="F"/>
    <s v="Pass"/>
  </r>
  <r>
    <x v="933"/>
    <x v="37"/>
    <x v="0"/>
    <x v="6"/>
    <s v="C"/>
    <x v="5"/>
    <x v="47"/>
    <n v="88"/>
    <x v="1"/>
    <s v="A"/>
    <s v="Pass"/>
  </r>
  <r>
    <x v="934"/>
    <x v="78"/>
    <x v="0"/>
    <x v="2"/>
    <s v="A"/>
    <x v="0"/>
    <x v="32"/>
    <n v="70"/>
    <x v="0"/>
    <s v="A+"/>
    <s v="Pass"/>
  </r>
  <r>
    <x v="935"/>
    <x v="85"/>
    <x v="1"/>
    <x v="6"/>
    <s v="A"/>
    <x v="5"/>
    <x v="27"/>
    <n v="85"/>
    <x v="6"/>
    <s v="B"/>
    <s v="Pass"/>
  </r>
  <r>
    <x v="936"/>
    <x v="94"/>
    <x v="1"/>
    <x v="0"/>
    <s v="C"/>
    <x v="1"/>
    <x v="64"/>
    <n v="81"/>
    <x v="1"/>
    <s v="C"/>
    <s v="Pass"/>
  </r>
  <r>
    <x v="937"/>
    <x v="61"/>
    <x v="1"/>
    <x v="4"/>
    <s v="C"/>
    <x v="0"/>
    <x v="3"/>
    <n v="62"/>
    <x v="3"/>
    <s v="B"/>
    <s v="Pass"/>
  </r>
  <r>
    <x v="938"/>
    <x v="53"/>
    <x v="0"/>
    <x v="6"/>
    <s v="C"/>
    <x v="2"/>
    <x v="61"/>
    <n v="79"/>
    <x v="3"/>
    <s v="F"/>
    <s v="Pass"/>
  </r>
  <r>
    <x v="939"/>
    <x v="43"/>
    <x v="1"/>
    <x v="6"/>
    <s v="B"/>
    <x v="4"/>
    <x v="50"/>
    <n v="69"/>
    <x v="1"/>
    <s v="B"/>
    <s v="Pass"/>
  </r>
  <r>
    <x v="940"/>
    <x v="46"/>
    <x v="1"/>
    <x v="0"/>
    <s v="B"/>
    <x v="0"/>
    <x v="2"/>
    <n v="67"/>
    <x v="6"/>
    <s v="C"/>
    <s v="Pass"/>
  </r>
  <r>
    <x v="941"/>
    <x v="42"/>
    <x v="0"/>
    <x v="3"/>
    <s v="A"/>
    <x v="5"/>
    <x v="15"/>
    <n v="97"/>
    <x v="1"/>
    <s v="F"/>
    <s v="Pass"/>
  </r>
  <r>
    <x v="942"/>
    <x v="60"/>
    <x v="0"/>
    <x v="6"/>
    <s v="A"/>
    <x v="0"/>
    <x v="44"/>
    <n v="74"/>
    <x v="5"/>
    <s v="F"/>
    <s v="Pass"/>
  </r>
  <r>
    <x v="943"/>
    <x v="90"/>
    <x v="0"/>
    <x v="1"/>
    <s v="B"/>
    <x v="1"/>
    <x v="35"/>
    <n v="94"/>
    <x v="5"/>
    <s v="B"/>
    <s v="Pass"/>
  </r>
  <r>
    <x v="944"/>
    <x v="48"/>
    <x v="1"/>
    <x v="4"/>
    <s v="B"/>
    <x v="4"/>
    <x v="0"/>
    <n v="87"/>
    <x v="5"/>
    <s v="F"/>
    <s v="Pass"/>
  </r>
  <r>
    <x v="945"/>
    <x v="81"/>
    <x v="0"/>
    <x v="3"/>
    <s v="B"/>
    <x v="4"/>
    <x v="6"/>
    <n v="65"/>
    <x v="3"/>
    <s v="B"/>
    <s v="Pass"/>
  </r>
  <r>
    <x v="946"/>
    <x v="30"/>
    <x v="0"/>
    <x v="3"/>
    <s v="C"/>
    <x v="1"/>
    <x v="40"/>
    <n v="77"/>
    <x v="1"/>
    <s v="F"/>
    <s v="Pass"/>
  </r>
  <r>
    <x v="947"/>
    <x v="19"/>
    <x v="1"/>
    <x v="3"/>
    <s v="B"/>
    <x v="4"/>
    <x v="28"/>
    <n v="93"/>
    <x v="3"/>
    <s v="B"/>
    <s v="Pass"/>
  </r>
  <r>
    <x v="948"/>
    <x v="19"/>
    <x v="1"/>
    <x v="6"/>
    <s v="A"/>
    <x v="3"/>
    <x v="60"/>
    <n v="63"/>
    <x v="2"/>
    <s v="F"/>
    <s v="Pass"/>
  </r>
  <r>
    <x v="949"/>
    <x v="46"/>
    <x v="0"/>
    <x v="6"/>
    <s v="B"/>
    <x v="4"/>
    <x v="49"/>
    <n v="95"/>
    <x v="4"/>
    <s v="B"/>
    <s v="Pass"/>
  </r>
  <r>
    <x v="950"/>
    <x v="53"/>
    <x v="1"/>
    <x v="3"/>
    <s v="C"/>
    <x v="5"/>
    <x v="47"/>
    <n v="79"/>
    <x v="4"/>
    <s v="A"/>
    <s v="Pass"/>
  </r>
  <r>
    <x v="951"/>
    <x v="83"/>
    <x v="0"/>
    <x v="3"/>
    <s v="B"/>
    <x v="1"/>
    <x v="63"/>
    <n v="97"/>
    <x v="5"/>
    <s v="A"/>
    <s v="Pass"/>
  </r>
  <r>
    <x v="952"/>
    <x v="25"/>
    <x v="0"/>
    <x v="1"/>
    <s v="C"/>
    <x v="2"/>
    <x v="50"/>
    <n v="70"/>
    <x v="4"/>
    <s v="B"/>
    <s v="Pass"/>
  </r>
  <r>
    <x v="953"/>
    <x v="25"/>
    <x v="1"/>
    <x v="0"/>
    <s v="A"/>
    <x v="1"/>
    <x v="53"/>
    <n v="76"/>
    <x v="6"/>
    <s v="C"/>
    <s v="Pass"/>
  </r>
  <r>
    <x v="954"/>
    <x v="69"/>
    <x v="0"/>
    <x v="4"/>
    <s v="A"/>
    <x v="5"/>
    <x v="37"/>
    <n v="98"/>
    <x v="0"/>
    <s v="F"/>
    <s v="Pass"/>
  </r>
  <r>
    <x v="955"/>
    <x v="83"/>
    <x v="0"/>
    <x v="5"/>
    <s v="C"/>
    <x v="0"/>
    <x v="58"/>
    <n v="99"/>
    <x v="2"/>
    <s v="C"/>
    <s v="Pass"/>
  </r>
  <r>
    <x v="956"/>
    <x v="69"/>
    <x v="0"/>
    <x v="3"/>
    <s v="C"/>
    <x v="3"/>
    <x v="4"/>
    <n v="81"/>
    <x v="0"/>
    <s v="F"/>
    <s v="Pass"/>
  </r>
  <r>
    <x v="957"/>
    <x v="64"/>
    <x v="1"/>
    <x v="2"/>
    <s v="C"/>
    <x v="1"/>
    <x v="31"/>
    <n v="72"/>
    <x v="4"/>
    <s v="A"/>
    <s v="Pass"/>
  </r>
  <r>
    <x v="958"/>
    <x v="9"/>
    <x v="0"/>
    <x v="4"/>
    <s v="C"/>
    <x v="2"/>
    <x v="11"/>
    <n v="63"/>
    <x v="4"/>
    <s v="F"/>
    <s v="Pass"/>
  </r>
  <r>
    <x v="959"/>
    <x v="35"/>
    <x v="1"/>
    <x v="6"/>
    <s v="C"/>
    <x v="5"/>
    <x v="29"/>
    <n v="86"/>
    <x v="4"/>
    <s v="B"/>
    <s v="Pass"/>
  </r>
  <r>
    <x v="960"/>
    <x v="16"/>
    <x v="0"/>
    <x v="0"/>
    <s v="C"/>
    <x v="2"/>
    <x v="41"/>
    <n v="61"/>
    <x v="1"/>
    <s v="F"/>
    <s v="Pass"/>
  </r>
  <r>
    <x v="961"/>
    <x v="0"/>
    <x v="0"/>
    <x v="6"/>
    <s v="B"/>
    <x v="2"/>
    <x v="13"/>
    <n v="74"/>
    <x v="0"/>
    <s v="F"/>
    <s v="Pass"/>
  </r>
  <r>
    <x v="962"/>
    <x v="68"/>
    <x v="0"/>
    <x v="1"/>
    <s v="A"/>
    <x v="2"/>
    <x v="9"/>
    <n v="84"/>
    <x v="4"/>
    <s v="A+"/>
    <s v="Pass"/>
  </r>
  <r>
    <x v="963"/>
    <x v="10"/>
    <x v="0"/>
    <x v="6"/>
    <s v="B"/>
    <x v="2"/>
    <x v="60"/>
    <n v="92"/>
    <x v="5"/>
    <s v="F"/>
    <s v="Pass"/>
  </r>
  <r>
    <x v="964"/>
    <x v="0"/>
    <x v="1"/>
    <x v="3"/>
    <s v="C"/>
    <x v="3"/>
    <x v="4"/>
    <n v="64"/>
    <x v="3"/>
    <s v="F"/>
    <s v="Pass"/>
  </r>
  <r>
    <x v="965"/>
    <x v="24"/>
    <x v="0"/>
    <x v="1"/>
    <s v="C"/>
    <x v="2"/>
    <x v="36"/>
    <n v="83"/>
    <x v="6"/>
    <s v="C"/>
    <s v="Pass"/>
  </r>
  <r>
    <x v="966"/>
    <x v="32"/>
    <x v="0"/>
    <x v="0"/>
    <s v="C"/>
    <x v="5"/>
    <x v="14"/>
    <n v="80"/>
    <x v="4"/>
    <s v="C"/>
    <s v="Pass"/>
  </r>
  <r>
    <x v="967"/>
    <x v="0"/>
    <x v="0"/>
    <x v="0"/>
    <s v="A"/>
    <x v="1"/>
    <x v="30"/>
    <n v="97"/>
    <x v="6"/>
    <s v="F"/>
    <s v="Pass"/>
  </r>
  <r>
    <x v="968"/>
    <x v="28"/>
    <x v="0"/>
    <x v="0"/>
    <s v="C"/>
    <x v="1"/>
    <x v="37"/>
    <n v="82"/>
    <x v="0"/>
    <s v="F"/>
    <s v="Pass"/>
  </r>
  <r>
    <x v="969"/>
    <x v="25"/>
    <x v="1"/>
    <x v="2"/>
    <s v="A"/>
    <x v="0"/>
    <x v="36"/>
    <n v="69"/>
    <x v="5"/>
    <s v="C"/>
    <s v="Pass"/>
  </r>
  <r>
    <x v="970"/>
    <x v="44"/>
    <x v="0"/>
    <x v="0"/>
    <s v="B"/>
    <x v="5"/>
    <x v="60"/>
    <n v="73"/>
    <x v="6"/>
    <s v="F"/>
    <s v="Pass"/>
  </r>
  <r>
    <x v="971"/>
    <x v="31"/>
    <x v="1"/>
    <x v="4"/>
    <s v="B"/>
    <x v="4"/>
    <x v="18"/>
    <n v="65"/>
    <x v="2"/>
    <s v="A"/>
    <s v="Pass"/>
  </r>
  <r>
    <x v="972"/>
    <x v="65"/>
    <x v="1"/>
    <x v="5"/>
    <s v="A"/>
    <x v="4"/>
    <x v="61"/>
    <n v="97"/>
    <x v="1"/>
    <s v="F"/>
    <s v="Pass"/>
  </r>
  <r>
    <x v="973"/>
    <x v="86"/>
    <x v="0"/>
    <x v="5"/>
    <s v="B"/>
    <x v="0"/>
    <x v="57"/>
    <n v="95"/>
    <x v="2"/>
    <s v="A+"/>
    <s v="Pass"/>
  </r>
  <r>
    <x v="974"/>
    <x v="55"/>
    <x v="0"/>
    <x v="4"/>
    <s v="B"/>
    <x v="0"/>
    <x v="16"/>
    <n v="70"/>
    <x v="0"/>
    <s v="C"/>
    <s v="Pass"/>
  </r>
  <r>
    <x v="975"/>
    <x v="27"/>
    <x v="0"/>
    <x v="1"/>
    <s v="C"/>
    <x v="3"/>
    <x v="29"/>
    <n v="94"/>
    <x v="2"/>
    <s v="B"/>
    <s v="Pass"/>
  </r>
  <r>
    <x v="976"/>
    <x v="62"/>
    <x v="1"/>
    <x v="4"/>
    <s v="C"/>
    <x v="1"/>
    <x v="39"/>
    <n v="83"/>
    <x v="6"/>
    <s v="A"/>
    <s v="Pass"/>
  </r>
  <r>
    <x v="977"/>
    <x v="55"/>
    <x v="0"/>
    <x v="0"/>
    <s v="C"/>
    <x v="4"/>
    <x v="59"/>
    <n v="71"/>
    <x v="5"/>
    <s v="F"/>
    <s v="Pass"/>
  </r>
  <r>
    <x v="978"/>
    <x v="91"/>
    <x v="1"/>
    <x v="4"/>
    <s v="B"/>
    <x v="0"/>
    <x v="18"/>
    <n v="78"/>
    <x v="3"/>
    <s v="A"/>
    <s v="Pass"/>
  </r>
  <r>
    <x v="979"/>
    <x v="92"/>
    <x v="0"/>
    <x v="5"/>
    <s v="C"/>
    <x v="2"/>
    <x v="59"/>
    <n v="67"/>
    <x v="4"/>
    <s v="F"/>
    <s v="Pass"/>
  </r>
  <r>
    <x v="980"/>
    <x v="14"/>
    <x v="0"/>
    <x v="5"/>
    <s v="A"/>
    <x v="1"/>
    <x v="15"/>
    <n v="95"/>
    <x v="2"/>
    <s v="F"/>
    <s v="Pass"/>
  </r>
  <r>
    <x v="981"/>
    <x v="56"/>
    <x v="0"/>
    <x v="3"/>
    <s v="B"/>
    <x v="3"/>
    <x v="21"/>
    <n v="63"/>
    <x v="2"/>
    <s v="A+"/>
    <s v="Pass"/>
  </r>
  <r>
    <x v="982"/>
    <x v="27"/>
    <x v="1"/>
    <x v="1"/>
    <s v="C"/>
    <x v="4"/>
    <x v="63"/>
    <n v="60"/>
    <x v="5"/>
    <s v="A"/>
    <s v="Pass"/>
  </r>
  <r>
    <x v="983"/>
    <x v="83"/>
    <x v="1"/>
    <x v="1"/>
    <s v="A"/>
    <x v="3"/>
    <x v="11"/>
    <n v="90"/>
    <x v="5"/>
    <s v="F"/>
    <s v="Pass"/>
  </r>
  <r>
    <x v="984"/>
    <x v="37"/>
    <x v="1"/>
    <x v="5"/>
    <s v="B"/>
    <x v="0"/>
    <x v="27"/>
    <n v="70"/>
    <x v="2"/>
    <s v="B"/>
    <s v="Pass"/>
  </r>
  <r>
    <x v="985"/>
    <x v="82"/>
    <x v="0"/>
    <x v="5"/>
    <s v="B"/>
    <x v="4"/>
    <x v="20"/>
    <n v="75"/>
    <x v="6"/>
    <s v="B"/>
    <s v="Pass"/>
  </r>
  <r>
    <x v="986"/>
    <x v="45"/>
    <x v="1"/>
    <x v="6"/>
    <s v="B"/>
    <x v="1"/>
    <x v="42"/>
    <n v="83"/>
    <x v="2"/>
    <s v="C"/>
    <s v="Pass"/>
  </r>
  <r>
    <x v="987"/>
    <x v="85"/>
    <x v="0"/>
    <x v="4"/>
    <s v="B"/>
    <x v="3"/>
    <x v="8"/>
    <n v="92"/>
    <x v="0"/>
    <s v="A"/>
    <s v="Pass"/>
  </r>
  <r>
    <x v="988"/>
    <x v="16"/>
    <x v="1"/>
    <x v="0"/>
    <s v="A"/>
    <x v="2"/>
    <x v="11"/>
    <n v="80"/>
    <x v="6"/>
    <s v="F"/>
    <s v="Pass"/>
  </r>
  <r>
    <x v="989"/>
    <x v="17"/>
    <x v="1"/>
    <x v="2"/>
    <s v="A"/>
    <x v="0"/>
    <x v="63"/>
    <n v="64"/>
    <x v="2"/>
    <s v="A"/>
    <s v="Pass"/>
  </r>
  <r>
    <x v="990"/>
    <x v="39"/>
    <x v="1"/>
    <x v="6"/>
    <s v="B"/>
    <x v="3"/>
    <x v="47"/>
    <n v="80"/>
    <x v="6"/>
    <s v="A"/>
    <s v="Pass"/>
  </r>
  <r>
    <x v="991"/>
    <x v="93"/>
    <x v="1"/>
    <x v="4"/>
    <s v="C"/>
    <x v="1"/>
    <x v="61"/>
    <n v="75"/>
    <x v="6"/>
    <s v="F"/>
    <s v="Pass"/>
  </r>
  <r>
    <x v="992"/>
    <x v="78"/>
    <x v="0"/>
    <x v="0"/>
    <s v="C"/>
    <x v="1"/>
    <x v="3"/>
    <n v="91"/>
    <x v="0"/>
    <s v="B"/>
    <s v="Pass"/>
  </r>
  <r>
    <x v="993"/>
    <x v="3"/>
    <x v="1"/>
    <x v="0"/>
    <s v="C"/>
    <x v="3"/>
    <x v="56"/>
    <n v="85"/>
    <x v="4"/>
    <s v="F"/>
    <s v="Pass"/>
  </r>
  <r>
    <x v="994"/>
    <x v="84"/>
    <x v="0"/>
    <x v="2"/>
    <s v="A"/>
    <x v="4"/>
    <x v="24"/>
    <n v="80"/>
    <x v="5"/>
    <s v="F"/>
    <s v="Pass"/>
  </r>
  <r>
    <x v="995"/>
    <x v="44"/>
    <x v="1"/>
    <x v="5"/>
    <s v="A"/>
    <x v="4"/>
    <x v="37"/>
    <n v="90"/>
    <x v="0"/>
    <s v="F"/>
    <s v="Pass"/>
  </r>
  <r>
    <x v="996"/>
    <x v="37"/>
    <x v="0"/>
    <x v="3"/>
    <s v="A"/>
    <x v="5"/>
    <x v="2"/>
    <n v="70"/>
    <x v="5"/>
    <s v="C"/>
    <s v="Pass"/>
  </r>
  <r>
    <x v="997"/>
    <x v="43"/>
    <x v="0"/>
    <x v="6"/>
    <s v="B"/>
    <x v="3"/>
    <x v="63"/>
    <n v="71"/>
    <x v="6"/>
    <s v="A"/>
    <s v="Pass"/>
  </r>
  <r>
    <x v="998"/>
    <x v="78"/>
    <x v="0"/>
    <x v="5"/>
    <s v="A"/>
    <x v="2"/>
    <x v="40"/>
    <n v="83"/>
    <x v="3"/>
    <s v="F"/>
    <s v="Pass"/>
  </r>
  <r>
    <x v="999"/>
    <x v="60"/>
    <x v="1"/>
    <x v="5"/>
    <s v="A"/>
    <x v="5"/>
    <x v="52"/>
    <n v="67"/>
    <x v="4"/>
    <s v="F"/>
    <s v="Pass"/>
  </r>
  <r>
    <x v="1000"/>
    <x v="26"/>
    <x v="0"/>
    <x v="2"/>
    <s v="A"/>
    <x v="0"/>
    <x v="63"/>
    <n v="74"/>
    <x v="5"/>
    <s v="A"/>
    <s v="Pass"/>
  </r>
  <r>
    <x v="1001"/>
    <x v="96"/>
    <x v="2"/>
    <x v="7"/>
    <m/>
    <x v="6"/>
    <x v="69"/>
    <m/>
    <x v="7"/>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S0001"/>
    <s v="Ananya Patra"/>
    <x v="0"/>
    <n v="8"/>
    <s v="B"/>
    <s v="Math"/>
    <n v="36"/>
    <n v="75"/>
    <s v="Rourkela"/>
    <s v="F"/>
    <s v="Pass"/>
  </r>
  <r>
    <s v="S0002"/>
    <s v="Rohit Kumar"/>
    <x v="0"/>
    <n v="12"/>
    <s v="C"/>
    <s v="English"/>
    <n v="90"/>
    <n v="97"/>
    <s v="Bhubaneswar"/>
    <s v="A+"/>
    <s v="Pass"/>
  </r>
  <r>
    <s v="S0003"/>
    <s v="Kavya Kumar"/>
    <x v="0"/>
    <n v="6"/>
    <s v="B"/>
    <s v="History"/>
    <n v="66"/>
    <n v="96"/>
    <s v="Bhubaneswar"/>
    <s v="C"/>
    <s v="Pass"/>
  </r>
  <r>
    <s v="S0004"/>
    <s v="Rahul Mohanty"/>
    <x v="1"/>
    <n v="12"/>
    <s v="C"/>
    <s v="Computer"/>
    <n v="71"/>
    <n v="90"/>
    <s v="Bhubaneswar"/>
    <s v="B"/>
    <s v="Pass"/>
  </r>
  <r>
    <s v="S0005"/>
    <s v="Rahul Das"/>
    <x v="0"/>
    <n v="7"/>
    <s v="C"/>
    <s v="English"/>
    <n v="51"/>
    <n v="100"/>
    <s v="Bhubaneswar"/>
    <s v="F"/>
    <s v="Pass"/>
  </r>
  <r>
    <s v="S0006"/>
    <s v="Amit Nayak"/>
    <x v="1"/>
    <n v="12"/>
    <s v="B"/>
    <s v="Math"/>
    <n v="37"/>
    <n v="78"/>
    <s v="Balasore"/>
    <s v="F"/>
    <s v="Pass"/>
  </r>
  <r>
    <s v="S0007"/>
    <s v="Ananya Patra"/>
    <x v="0"/>
    <n v="6"/>
    <s v="A"/>
    <s v="Geography"/>
    <n v="78"/>
    <n v="95"/>
    <s v="Cuttack"/>
    <s v="B"/>
    <s v="Pass"/>
  </r>
  <r>
    <s v="S0008"/>
    <s v="Sohan Kumar"/>
    <x v="0"/>
    <n v="10"/>
    <s v="C"/>
    <s v="English"/>
    <n v="45"/>
    <n v="61"/>
    <s v="Cuttack"/>
    <s v="F"/>
    <s v="Pass"/>
  </r>
  <r>
    <s v="S0009"/>
    <s v="Priya Mohanty"/>
    <x v="1"/>
    <n v="9"/>
    <s v="B"/>
    <s v="English"/>
    <n v="86"/>
    <n v="90"/>
    <s v="Angul"/>
    <s v="A"/>
    <s v="Pass"/>
  </r>
  <r>
    <s v="S0010"/>
    <s v="Rohit Sahoo"/>
    <x v="0"/>
    <n v="12"/>
    <s v="A"/>
    <s v="Science"/>
    <n v="91"/>
    <n v="95"/>
    <s v="Balasore"/>
    <s v="A+"/>
    <s v="Pass"/>
  </r>
  <r>
    <s v="S0011"/>
    <s v="Neha Patra"/>
    <x v="0"/>
    <n v="10"/>
    <s v="C"/>
    <s v="History"/>
    <n v="95"/>
    <n v="97"/>
    <s v="Puri"/>
    <s v="A+"/>
    <s v="Pass"/>
  </r>
  <r>
    <s v="S0012"/>
    <s v="Kavya Das"/>
    <x v="1"/>
    <n v="8"/>
    <s v="B"/>
    <s v="Science"/>
    <n v="55"/>
    <n v="81"/>
    <s v="Sambalpur"/>
    <s v="F"/>
    <s v="Pass"/>
  </r>
  <r>
    <s v="S0013"/>
    <s v="Kiran Sahoo"/>
    <x v="1"/>
    <n v="10"/>
    <s v="C"/>
    <s v="English"/>
    <n v="96"/>
    <n v="95"/>
    <s v="Bhubaneswar"/>
    <s v="A+"/>
    <s v="Pass"/>
  </r>
  <r>
    <s v="S0014"/>
    <s v="Sohan Mohanty"/>
    <x v="0"/>
    <n v="11"/>
    <s v="A"/>
    <s v="History"/>
    <n v="86"/>
    <n v="65"/>
    <s v="Balasore"/>
    <s v="A"/>
    <s v="Pass"/>
  </r>
  <r>
    <s v="S0015"/>
    <s v="Riya Patra"/>
    <x v="0"/>
    <n v="9"/>
    <s v="C"/>
    <s v="Computer"/>
    <n v="38"/>
    <n v="79"/>
    <s v="Rourkela"/>
    <s v="F"/>
    <s v="Pass"/>
  </r>
  <r>
    <s v="S0016"/>
    <s v="Sneha Das"/>
    <x v="0"/>
    <n v="10"/>
    <s v="B"/>
    <s v="Science"/>
    <n v="65"/>
    <n v="91"/>
    <s v="Cuttack"/>
    <s v="C"/>
    <s v="Pass"/>
  </r>
  <r>
    <s v="S0017"/>
    <s v="Riya Kumar"/>
    <x v="0"/>
    <n v="10"/>
    <s v="A"/>
    <s v="Math"/>
    <n v="65"/>
    <n v="82"/>
    <s v="Angul"/>
    <s v="C"/>
    <s v="Pass"/>
  </r>
  <r>
    <s v="S0018"/>
    <s v="Priya Nayak"/>
    <x v="1"/>
    <n v="8"/>
    <s v="A"/>
    <s v="Geography"/>
    <n v="52"/>
    <n v="65"/>
    <s v="Cuttack"/>
    <s v="F"/>
    <s v="Pass"/>
  </r>
  <r>
    <s v="S0019"/>
    <s v="Amit Kumar"/>
    <x v="1"/>
    <n v="11"/>
    <s v="A"/>
    <s v="Science"/>
    <n v="69"/>
    <n v="92"/>
    <s v="Puri"/>
    <s v="C"/>
    <s v="Pass"/>
  </r>
  <r>
    <s v="S0020"/>
    <s v="Kavya Kumar"/>
    <x v="0"/>
    <n v="11"/>
    <s v="A"/>
    <s v="English"/>
    <n v="37"/>
    <n v="77"/>
    <s v="Cuttack"/>
    <s v="F"/>
    <s v="Pass"/>
  </r>
  <r>
    <s v="S0021"/>
    <s v="Riya Nayak"/>
    <x v="1"/>
    <n v="6"/>
    <s v="C"/>
    <s v="Math"/>
    <n v="85"/>
    <n v="74"/>
    <s v="Balasore"/>
    <s v="A"/>
    <s v="Pass"/>
  </r>
  <r>
    <s v="S0022"/>
    <s v="Riya Sahoo"/>
    <x v="1"/>
    <n v="12"/>
    <s v="C"/>
    <s v="History"/>
    <n v="80"/>
    <n v="78"/>
    <s v="Bhubaneswar"/>
    <s v="A"/>
    <s v="Pass"/>
  </r>
  <r>
    <s v="S0023"/>
    <s v="Kavya Mohanty"/>
    <x v="1"/>
    <n v="6"/>
    <s v="C"/>
    <s v="English"/>
    <n v="51"/>
    <n v="64"/>
    <s v="Bhubaneswar"/>
    <s v="F"/>
    <s v="Pass"/>
  </r>
  <r>
    <s v="S0024"/>
    <s v="Sanjay Mohanty"/>
    <x v="1"/>
    <n v="10"/>
    <s v="A"/>
    <s v="Science"/>
    <n v="54"/>
    <n v="89"/>
    <s v="Angul"/>
    <s v="F"/>
    <s v="Pass"/>
  </r>
  <r>
    <s v="S0025"/>
    <s v="Amit Nayak"/>
    <x v="0"/>
    <n v="6"/>
    <s v="A"/>
    <s v="Science"/>
    <n v="76"/>
    <n v="73"/>
    <s v="Rourkela"/>
    <s v="B"/>
    <s v="Pass"/>
  </r>
  <r>
    <s v="S0026"/>
    <s v="Vivaan Mohanty"/>
    <x v="1"/>
    <n v="11"/>
    <s v="C"/>
    <s v="English"/>
    <n v="98"/>
    <n v="69"/>
    <s v="Rourkela"/>
    <s v="A+"/>
    <s v="Pass"/>
  </r>
  <r>
    <s v="S0027"/>
    <s v="Aditya Kumar"/>
    <x v="1"/>
    <n v="7"/>
    <s v="A"/>
    <s v="Geography"/>
    <n v="99"/>
    <n v="67"/>
    <s v="Bhubaneswar"/>
    <s v="A+"/>
    <s v="Pass"/>
  </r>
  <r>
    <s v="S0028"/>
    <s v="Priya Nayak"/>
    <x v="1"/>
    <n v="11"/>
    <s v="A"/>
    <s v="Science"/>
    <n v="36"/>
    <n v="74"/>
    <s v="Puri"/>
    <s v="F"/>
    <s v="Pass"/>
  </r>
  <r>
    <s v="S0029"/>
    <s v="Ananya Nayak"/>
    <x v="1"/>
    <n v="8"/>
    <s v="B"/>
    <s v="Geography"/>
    <n v="66"/>
    <n v="77"/>
    <s v="Cuttack"/>
    <s v="C"/>
    <s v="Pass"/>
  </r>
  <r>
    <s v="S0030"/>
    <s v="Rahul Sahoo"/>
    <x v="0"/>
    <n v="9"/>
    <s v="C"/>
    <s v="History"/>
    <n v="82"/>
    <n v="70"/>
    <s v="Angul"/>
    <s v="A"/>
    <s v="Pass"/>
  </r>
  <r>
    <s v="S0031"/>
    <s v="Sneha Patra"/>
    <x v="0"/>
    <n v="9"/>
    <s v="A"/>
    <s v="History"/>
    <n v="40"/>
    <n v="71"/>
    <s v="Angul"/>
    <s v="F"/>
    <s v="Pass"/>
  </r>
  <r>
    <s v="S0032"/>
    <s v="Sanjay Mohanty"/>
    <x v="1"/>
    <n v="10"/>
    <s v="A"/>
    <s v="History"/>
    <n v="59"/>
    <n v="86"/>
    <s v="Cuttack"/>
    <s v="F"/>
    <s v="Pass"/>
  </r>
  <r>
    <s v="S0033"/>
    <s v="Amit Nayak"/>
    <x v="0"/>
    <n v="7"/>
    <s v="A"/>
    <s v="Computer"/>
    <n v="59"/>
    <n v="74"/>
    <s v="Rourkela"/>
    <s v="F"/>
    <s v="Pass"/>
  </r>
  <r>
    <s v="S0034"/>
    <s v="Amit Patra"/>
    <x v="0"/>
    <n v="11"/>
    <s v="B"/>
    <s v="English"/>
    <n v="38"/>
    <n v="63"/>
    <s v="Rourkela"/>
    <s v="F"/>
    <s v="Pass"/>
  </r>
  <r>
    <s v="S0035"/>
    <s v="Sohan Patra"/>
    <x v="0"/>
    <n v="7"/>
    <s v="A"/>
    <s v="Geography"/>
    <n v="42"/>
    <n v="88"/>
    <s v="Puri"/>
    <s v="F"/>
    <s v="Pass"/>
  </r>
  <r>
    <s v="S0036"/>
    <s v="Ananya Patra"/>
    <x v="0"/>
    <n v="10"/>
    <s v="C"/>
    <s v="Science"/>
    <n v="73"/>
    <n v="85"/>
    <s v="Bhubaneswar"/>
    <s v="B"/>
    <s v="Pass"/>
  </r>
  <r>
    <s v="S0037"/>
    <s v="Sohan Kumar"/>
    <x v="1"/>
    <n v="11"/>
    <s v="B"/>
    <s v="Computer"/>
    <n v="54"/>
    <n v="98"/>
    <s v="Balasore"/>
    <s v="F"/>
    <s v="Pass"/>
  </r>
  <r>
    <s v="S0038"/>
    <s v="Sohan Das"/>
    <x v="1"/>
    <n v="12"/>
    <s v="A"/>
    <s v="Computer"/>
    <n v="72"/>
    <n v="82"/>
    <s v="Puri"/>
    <s v="B"/>
    <s v="Pass"/>
  </r>
  <r>
    <s v="S0039"/>
    <s v="Rohit Nayak"/>
    <x v="0"/>
    <n v="6"/>
    <s v="B"/>
    <s v="Science"/>
    <n v="99"/>
    <n v="81"/>
    <s v="Balasore"/>
    <s v="A+"/>
    <s v="Pass"/>
  </r>
  <r>
    <s v="S0040"/>
    <s v="Sneha Das"/>
    <x v="0"/>
    <n v="9"/>
    <s v="B"/>
    <s v="History"/>
    <n v="37"/>
    <n v="92"/>
    <s v="Puri"/>
    <s v="F"/>
    <s v="Pass"/>
  </r>
  <r>
    <s v="S0041"/>
    <s v="Sneha Patra"/>
    <x v="0"/>
    <n v="8"/>
    <s v="B"/>
    <s v="Science"/>
    <n v="80"/>
    <n v="82"/>
    <s v="Cuttack"/>
    <s v="A"/>
    <s v="Pass"/>
  </r>
  <r>
    <s v="S0042"/>
    <s v="Aditya Das"/>
    <x v="1"/>
    <n v="6"/>
    <s v="B"/>
    <s v="Science"/>
    <n v="77"/>
    <n v="67"/>
    <s v="Angul"/>
    <s v="B"/>
    <s v="Pass"/>
  </r>
  <r>
    <s v="S0043"/>
    <s v="Aarav Nayak"/>
    <x v="0"/>
    <n v="9"/>
    <s v="B"/>
    <s v="History"/>
    <n v="65"/>
    <n v="70"/>
    <s v="Bhubaneswar"/>
    <s v="C"/>
    <s v="Pass"/>
  </r>
  <r>
    <s v="S0044"/>
    <s v="Aarav Patra"/>
    <x v="0"/>
    <n v="8"/>
    <s v="B"/>
    <s v="Computer"/>
    <n v="55"/>
    <n v="80"/>
    <s v="Cuttack"/>
    <s v="F"/>
    <s v="Pass"/>
  </r>
  <r>
    <s v="S0045"/>
    <s v="Rahul Das"/>
    <x v="0"/>
    <n v="12"/>
    <s v="A"/>
    <s v="Computer"/>
    <n v="71"/>
    <n v="87"/>
    <s v="Bhubaneswar"/>
    <s v="B"/>
    <s v="Pass"/>
  </r>
  <r>
    <s v="S0046"/>
    <s v="Priya Sahoo"/>
    <x v="1"/>
    <n v="6"/>
    <s v="B"/>
    <s v="Computer"/>
    <n v="50"/>
    <n v="94"/>
    <s v="Puri"/>
    <s v="F"/>
    <s v="Pass"/>
  </r>
  <r>
    <s v="S0047"/>
    <s v="Ananya Mohanty"/>
    <x v="1"/>
    <n v="10"/>
    <s v="C"/>
    <s v="Science"/>
    <n v="59"/>
    <n v="89"/>
    <s v="Sambalpur"/>
    <s v="F"/>
    <s v="Pass"/>
  </r>
  <r>
    <s v="S0048"/>
    <s v="Ananya Nayak"/>
    <x v="0"/>
    <n v="6"/>
    <s v="B"/>
    <s v="History"/>
    <n v="95"/>
    <n v="84"/>
    <s v="Bhubaneswar"/>
    <s v="A+"/>
    <s v="Pass"/>
  </r>
  <r>
    <s v="S0049"/>
    <s v="Pooja Das"/>
    <x v="0"/>
    <n v="8"/>
    <s v="A"/>
    <s v="History"/>
    <n v="88"/>
    <n v="73"/>
    <s v="Bhubaneswar"/>
    <s v="A"/>
    <s v="Pass"/>
  </r>
  <r>
    <s v="S0050"/>
    <s v="Rahul Kumar"/>
    <x v="1"/>
    <n v="10"/>
    <s v="A"/>
    <s v="History"/>
    <n v="80"/>
    <n v="79"/>
    <s v="Rourkela"/>
    <s v="A"/>
    <s v="Pass"/>
  </r>
  <r>
    <s v="S0051"/>
    <s v="Priya Das"/>
    <x v="0"/>
    <n v="10"/>
    <s v="B"/>
    <s v="English"/>
    <n v="73"/>
    <n v="63"/>
    <s v="Rourkela"/>
    <s v="B"/>
    <s v="Pass"/>
  </r>
  <r>
    <s v="S0052"/>
    <s v="Vivaan Sahoo"/>
    <x v="1"/>
    <n v="7"/>
    <s v="B"/>
    <s v="Computer"/>
    <n v="66"/>
    <n v="91"/>
    <s v="Sambalpur"/>
    <s v="C"/>
    <s v="Pass"/>
  </r>
  <r>
    <s v="S0053"/>
    <s v="Rohit Sahoo"/>
    <x v="0"/>
    <n v="6"/>
    <s v="A"/>
    <s v="English"/>
    <n v="93"/>
    <n v="89"/>
    <s v="Angul"/>
    <s v="A+"/>
    <s v="Pass"/>
  </r>
  <r>
    <s v="S0054"/>
    <s v="Rahul Nayak"/>
    <x v="1"/>
    <n v="9"/>
    <s v="A"/>
    <s v="Geography"/>
    <n v="75"/>
    <n v="89"/>
    <s v="Sambalpur"/>
    <s v="B"/>
    <s v="Pass"/>
  </r>
  <r>
    <s v="S0055"/>
    <s v="Aarav Mohanty"/>
    <x v="0"/>
    <n v="8"/>
    <s v="A"/>
    <s v="History"/>
    <n v="82"/>
    <n v="100"/>
    <s v="Balasore"/>
    <s v="A"/>
    <s v="Pass"/>
  </r>
  <r>
    <s v="S0056"/>
    <s v="Amit Patra"/>
    <x v="1"/>
    <n v="10"/>
    <s v="A"/>
    <s v="Geography"/>
    <n v="98"/>
    <n v="98"/>
    <s v="Balasore"/>
    <s v="A+"/>
    <s v="Pass"/>
  </r>
  <r>
    <s v="S0057"/>
    <s v="Vivaan Kumar"/>
    <x v="1"/>
    <n v="8"/>
    <s v="B"/>
    <s v="Computer"/>
    <n v="58"/>
    <n v="89"/>
    <s v="Bhubaneswar"/>
    <s v="F"/>
    <s v="Pass"/>
  </r>
  <r>
    <s v="S0058"/>
    <s v="Rahul Nayak"/>
    <x v="0"/>
    <n v="12"/>
    <s v="A"/>
    <s v="Math"/>
    <n v="59"/>
    <n v="97"/>
    <s v="Balasore"/>
    <s v="F"/>
    <s v="Pass"/>
  </r>
  <r>
    <s v="S0059"/>
    <s v="Neha Mohanty"/>
    <x v="1"/>
    <n v="9"/>
    <s v="B"/>
    <s v="History"/>
    <n v="75"/>
    <n v="95"/>
    <s v="Angul"/>
    <s v="B"/>
    <s v="Pass"/>
  </r>
  <r>
    <s v="S0060"/>
    <s v="Riya Sahoo"/>
    <x v="0"/>
    <n v="7"/>
    <s v="B"/>
    <s v="Math"/>
    <n v="59"/>
    <n v="76"/>
    <s v="Balasore"/>
    <s v="F"/>
    <s v="Pass"/>
  </r>
  <r>
    <s v="S0061"/>
    <s v="Pooja Patra"/>
    <x v="0"/>
    <n v="7"/>
    <s v="C"/>
    <s v="Computer"/>
    <n v="78"/>
    <n v="89"/>
    <s v="Rourkela"/>
    <s v="B"/>
    <s v="Pass"/>
  </r>
  <r>
    <s v="S0062"/>
    <s v="Rahul Mohanty"/>
    <x v="1"/>
    <n v="6"/>
    <s v="B"/>
    <s v="Computer"/>
    <n v="90"/>
    <n v="76"/>
    <s v="Rourkela"/>
    <s v="A+"/>
    <s v="Pass"/>
  </r>
  <r>
    <s v="S0063"/>
    <s v="Priya Kumar"/>
    <x v="0"/>
    <n v="8"/>
    <s v="C"/>
    <s v="Computer"/>
    <n v="77"/>
    <n v="84"/>
    <s v="Bhubaneswar"/>
    <s v="B"/>
    <s v="Pass"/>
  </r>
  <r>
    <s v="S0064"/>
    <s v="Sohan Patra"/>
    <x v="1"/>
    <n v="12"/>
    <s v="C"/>
    <s v="English"/>
    <n v="79"/>
    <n v="84"/>
    <s v="Sambalpur"/>
    <s v="B"/>
    <s v="Pass"/>
  </r>
  <r>
    <s v="S0065"/>
    <s v="Sanjay Mohanty"/>
    <x v="0"/>
    <n v="12"/>
    <s v="C"/>
    <s v="Science"/>
    <n v="60"/>
    <n v="85"/>
    <s v="Bhubaneswar"/>
    <s v="C"/>
    <s v="Pass"/>
  </r>
  <r>
    <s v="S0066"/>
    <s v="Neha Mohanty"/>
    <x v="0"/>
    <n v="8"/>
    <s v="B"/>
    <s v="Geography"/>
    <n v="69"/>
    <n v="85"/>
    <s v="Rourkela"/>
    <s v="C"/>
    <s v="Pass"/>
  </r>
  <r>
    <s v="S0067"/>
    <s v="Pooja Das"/>
    <x v="1"/>
    <n v="8"/>
    <s v="C"/>
    <s v="English"/>
    <n v="38"/>
    <n v="89"/>
    <s v="Sambalpur"/>
    <s v="F"/>
    <s v="Pass"/>
  </r>
  <r>
    <s v="S0068"/>
    <s v="Aarav Kumar"/>
    <x v="1"/>
    <n v="7"/>
    <s v="A"/>
    <s v="Science"/>
    <n v="36"/>
    <n v="78"/>
    <s v="Cuttack"/>
    <s v="F"/>
    <s v="Pass"/>
  </r>
  <r>
    <s v="S0069"/>
    <s v="Sneha Nayak"/>
    <x v="0"/>
    <n v="8"/>
    <s v="C"/>
    <s v="Math"/>
    <n v="49"/>
    <n v="60"/>
    <s v="Balasore"/>
    <s v="F"/>
    <s v="Pass"/>
  </r>
  <r>
    <s v="S0070"/>
    <s v="Sohan Mohanty"/>
    <x v="1"/>
    <n v="12"/>
    <s v="A"/>
    <s v="Science"/>
    <n v="94"/>
    <n v="79"/>
    <s v="Cuttack"/>
    <s v="A+"/>
    <s v="Pass"/>
  </r>
  <r>
    <s v="S0071"/>
    <s v="Ananya Mohanty"/>
    <x v="1"/>
    <n v="7"/>
    <s v="C"/>
    <s v="Science"/>
    <n v="98"/>
    <n v="60"/>
    <s v="Bhubaneswar"/>
    <s v="A+"/>
    <s v="Pass"/>
  </r>
  <r>
    <s v="S0072"/>
    <s v="Sanjay Sahoo"/>
    <x v="1"/>
    <n v="7"/>
    <s v="C"/>
    <s v="English"/>
    <n v="98"/>
    <n v="99"/>
    <s v="Cuttack"/>
    <s v="A+"/>
    <s v="Pass"/>
  </r>
  <r>
    <s v="S0073"/>
    <s v="Rohit Nayak"/>
    <x v="1"/>
    <n v="8"/>
    <s v="A"/>
    <s v="Computer"/>
    <n v="81"/>
    <n v="83"/>
    <s v="Cuttack"/>
    <s v="A"/>
    <s v="Pass"/>
  </r>
  <r>
    <s v="S0074"/>
    <s v="Pooja Das"/>
    <x v="1"/>
    <n v="9"/>
    <s v="B"/>
    <s v="Geography"/>
    <n v="46"/>
    <n v="94"/>
    <s v="Bhubaneswar"/>
    <s v="F"/>
    <s v="Pass"/>
  </r>
  <r>
    <s v="S0075"/>
    <s v="Sanjay Das"/>
    <x v="0"/>
    <n v="7"/>
    <s v="B"/>
    <s v="Math"/>
    <n v="39"/>
    <n v="69"/>
    <s v="Rourkela"/>
    <s v="F"/>
    <s v="Pass"/>
  </r>
  <r>
    <s v="S0076"/>
    <s v="Priya Nayak"/>
    <x v="0"/>
    <n v="12"/>
    <s v="C"/>
    <s v="Computer"/>
    <n v="68"/>
    <n v="83"/>
    <s v="Bhubaneswar"/>
    <s v="C"/>
    <s v="Pass"/>
  </r>
  <r>
    <s v="S0077"/>
    <s v="Rahul Nayak"/>
    <x v="1"/>
    <n v="8"/>
    <s v="A"/>
    <s v="Math"/>
    <n v="99"/>
    <n v="93"/>
    <s v="Puri"/>
    <s v="A+"/>
    <s v="Pass"/>
  </r>
  <r>
    <s v="S0078"/>
    <s v="Pooja Das"/>
    <x v="0"/>
    <n v="6"/>
    <s v="C"/>
    <s v="Computer"/>
    <n v="65"/>
    <n v="79"/>
    <s v="Balasore"/>
    <s v="C"/>
    <s v="Pass"/>
  </r>
  <r>
    <s v="S0079"/>
    <s v="Rahul Mohanty"/>
    <x v="1"/>
    <n v="6"/>
    <s v="A"/>
    <s v="Geography"/>
    <n v="89"/>
    <n v="69"/>
    <s v="Cuttack"/>
    <s v="A"/>
    <s v="Pass"/>
  </r>
  <r>
    <s v="S0080"/>
    <s v="Rahul Mohanty"/>
    <x v="1"/>
    <n v="9"/>
    <s v="B"/>
    <s v="Math"/>
    <n v="71"/>
    <n v="100"/>
    <s v="Bhubaneswar"/>
    <s v="B"/>
    <s v="Pass"/>
  </r>
  <r>
    <s v="S0081"/>
    <s v="Sanjay Nayak"/>
    <x v="0"/>
    <n v="7"/>
    <s v="C"/>
    <s v="History"/>
    <n v="81"/>
    <n v="73"/>
    <s v="Angul"/>
    <s v="A"/>
    <s v="Pass"/>
  </r>
  <r>
    <s v="S0082"/>
    <s v="Riya Patra"/>
    <x v="1"/>
    <n v="12"/>
    <s v="A"/>
    <s v="Computer"/>
    <n v="53"/>
    <n v="81"/>
    <s v="Cuttack"/>
    <s v="F"/>
    <s v="Pass"/>
  </r>
  <r>
    <s v="S0083"/>
    <s v="Priya Nayak"/>
    <x v="0"/>
    <n v="6"/>
    <s v="C"/>
    <s v="Science"/>
    <n v="38"/>
    <n v="60"/>
    <s v="Bhubaneswar"/>
    <s v="F"/>
    <s v="Pass"/>
  </r>
  <r>
    <s v="S0084"/>
    <s v="Pooja Patra"/>
    <x v="1"/>
    <n v="11"/>
    <s v="A"/>
    <s v="Science"/>
    <n v="81"/>
    <n v="97"/>
    <s v="Cuttack"/>
    <s v="A"/>
    <s v="Pass"/>
  </r>
  <r>
    <s v="S0085"/>
    <s v="Aditya Das"/>
    <x v="1"/>
    <n v="12"/>
    <s v="B"/>
    <s v="History"/>
    <n v="75"/>
    <n v="62"/>
    <s v="Rourkela"/>
    <s v="B"/>
    <s v="Pass"/>
  </r>
  <r>
    <s v="S0086"/>
    <s v="Ananya Kumar"/>
    <x v="1"/>
    <n v="10"/>
    <s v="C"/>
    <s v="History"/>
    <n v="79"/>
    <n v="85"/>
    <s v="Rourkela"/>
    <s v="B"/>
    <s v="Pass"/>
  </r>
  <r>
    <s v="S0087"/>
    <s v="Riya Sahoo"/>
    <x v="1"/>
    <n v="12"/>
    <s v="C"/>
    <s v="English"/>
    <n v="99"/>
    <n v="60"/>
    <s v="Sambalpur"/>
    <s v="A+"/>
    <s v="Pass"/>
  </r>
  <r>
    <s v="S0088"/>
    <s v="Priya Sahoo"/>
    <x v="1"/>
    <n v="8"/>
    <s v="B"/>
    <s v="Computer"/>
    <n v="60"/>
    <n v="85"/>
    <s v="Cuttack"/>
    <s v="C"/>
    <s v="Pass"/>
  </r>
  <r>
    <s v="S0089"/>
    <s v="Pooja Sahoo"/>
    <x v="1"/>
    <n v="10"/>
    <s v="C"/>
    <s v="Science"/>
    <n v="76"/>
    <n v="95"/>
    <s v="Bhubaneswar"/>
    <s v="B"/>
    <s v="Pass"/>
  </r>
  <r>
    <s v="S0090"/>
    <s v="Pooja Sahoo"/>
    <x v="0"/>
    <n v="7"/>
    <s v="B"/>
    <s v="History"/>
    <n v="60"/>
    <n v="81"/>
    <s v="Bhubaneswar"/>
    <s v="C"/>
    <s v="Pass"/>
  </r>
  <r>
    <s v="S0091"/>
    <s v="Kiran Mohanty"/>
    <x v="1"/>
    <n v="11"/>
    <s v="A"/>
    <s v="Computer"/>
    <n v="59"/>
    <n v="86"/>
    <s v="Balasore"/>
    <s v="F"/>
    <s v="Pass"/>
  </r>
  <r>
    <s v="S0092"/>
    <s v="Aditya Mohanty"/>
    <x v="0"/>
    <n v="10"/>
    <s v="A"/>
    <s v="Math"/>
    <n v="49"/>
    <n v="75"/>
    <s v="Cuttack"/>
    <s v="F"/>
    <s v="Pass"/>
  </r>
  <r>
    <s v="S0093"/>
    <s v="Rahul Mohanty"/>
    <x v="0"/>
    <n v="11"/>
    <s v="C"/>
    <s v="Science"/>
    <n v="52"/>
    <n v="76"/>
    <s v="Angul"/>
    <s v="F"/>
    <s v="Pass"/>
  </r>
  <r>
    <s v="S0094"/>
    <s v="Vivaan Patra"/>
    <x v="0"/>
    <n v="10"/>
    <s v="C"/>
    <s v="Computer"/>
    <n v="83"/>
    <n v="96"/>
    <s v="Bhubaneswar"/>
    <s v="A"/>
    <s v="Pass"/>
  </r>
  <r>
    <s v="S0095"/>
    <s v="Sanjay Sahoo"/>
    <x v="1"/>
    <n v="8"/>
    <s v="C"/>
    <s v="Computer"/>
    <n v="51"/>
    <n v="82"/>
    <s v="Cuttack"/>
    <s v="F"/>
    <s v="Pass"/>
  </r>
  <r>
    <s v="S0096"/>
    <s v="Amit Das"/>
    <x v="1"/>
    <n v="10"/>
    <s v="A"/>
    <s v="History"/>
    <n v="100"/>
    <n v="65"/>
    <s v="Bhubaneswar"/>
    <s v="A+"/>
    <s v="Pass"/>
  </r>
  <r>
    <s v="S0097"/>
    <s v="Pooja Das"/>
    <x v="0"/>
    <n v="11"/>
    <s v="A"/>
    <s v="Geography"/>
    <n v="59"/>
    <n v="62"/>
    <s v="Puri"/>
    <s v="F"/>
    <s v="Pass"/>
  </r>
  <r>
    <s v="S0098"/>
    <s v="Kiran Patra"/>
    <x v="1"/>
    <n v="12"/>
    <s v="B"/>
    <s v="Computer"/>
    <n v="87"/>
    <n v="71"/>
    <s v="Angul"/>
    <s v="A"/>
    <s v="Pass"/>
  </r>
  <r>
    <s v="S0099"/>
    <s v="Kavya Sahoo"/>
    <x v="1"/>
    <n v="12"/>
    <s v="C"/>
    <s v="Math"/>
    <n v="37"/>
    <n v="62"/>
    <s v="Angul"/>
    <s v="F"/>
    <s v="Pass"/>
  </r>
  <r>
    <s v="S0100"/>
    <s v="Neha Nayak"/>
    <x v="0"/>
    <n v="12"/>
    <s v="A"/>
    <s v="Math"/>
    <n v="51"/>
    <n v="68"/>
    <s v="Cuttack"/>
    <s v="F"/>
    <s v="Pass"/>
  </r>
  <r>
    <s v="S0101"/>
    <s v="Sohan Mohanty"/>
    <x v="0"/>
    <n v="10"/>
    <s v="C"/>
    <s v="Math"/>
    <n v="62"/>
    <n v="81"/>
    <s v="Puri"/>
    <s v="C"/>
    <s v="Pass"/>
  </r>
  <r>
    <s v="S0102"/>
    <s v="Rohit Mohanty"/>
    <x v="0"/>
    <n v="9"/>
    <s v="B"/>
    <s v="Science"/>
    <n v="94"/>
    <n v="95"/>
    <s v="Balasore"/>
    <s v="A+"/>
    <s v="Pass"/>
  </r>
  <r>
    <s v="S0103"/>
    <s v="Ananya Patra"/>
    <x v="0"/>
    <n v="11"/>
    <s v="B"/>
    <s v="Math"/>
    <n v="78"/>
    <n v="87"/>
    <s v="Cuttack"/>
    <s v="B"/>
    <s v="Pass"/>
  </r>
  <r>
    <s v="S0104"/>
    <s v="Vivaan Mohanty"/>
    <x v="0"/>
    <n v="8"/>
    <s v="C"/>
    <s v="Math"/>
    <n v="40"/>
    <n v="69"/>
    <s v="Bhubaneswar"/>
    <s v="F"/>
    <s v="Pass"/>
  </r>
  <r>
    <s v="S0105"/>
    <s v="Aarav Patra"/>
    <x v="0"/>
    <n v="10"/>
    <s v="A"/>
    <s v="History"/>
    <n v="95"/>
    <n v="67"/>
    <s v="Angul"/>
    <s v="A+"/>
    <s v="Pass"/>
  </r>
  <r>
    <s v="S0106"/>
    <s v="Kavya Kumar"/>
    <x v="0"/>
    <n v="6"/>
    <s v="C"/>
    <s v="Geography"/>
    <n v="70"/>
    <n v="76"/>
    <s v="Puri"/>
    <s v="B"/>
    <s v="Pass"/>
  </r>
  <r>
    <s v="S0107"/>
    <s v="Amit Sahoo"/>
    <x v="1"/>
    <n v="10"/>
    <s v="B"/>
    <s v="History"/>
    <n v="54"/>
    <n v="70"/>
    <s v="Bhubaneswar"/>
    <s v="F"/>
    <s v="Pass"/>
  </r>
  <r>
    <s v="S0108"/>
    <s v="Aarav Kumar"/>
    <x v="1"/>
    <n v="8"/>
    <s v="A"/>
    <s v="History"/>
    <n v="88"/>
    <n v="62"/>
    <s v="Cuttack"/>
    <s v="A"/>
    <s v="Pass"/>
  </r>
  <r>
    <s v="S0109"/>
    <s v="Kavya Patra"/>
    <x v="0"/>
    <n v="6"/>
    <s v="B"/>
    <s v="Science"/>
    <n v="74"/>
    <n v="66"/>
    <s v="Angul"/>
    <s v="B"/>
    <s v="Pass"/>
  </r>
  <r>
    <s v="S0110"/>
    <s v="Riya Das"/>
    <x v="1"/>
    <n v="7"/>
    <s v="B"/>
    <s v="Computer"/>
    <n v="83"/>
    <n v="60"/>
    <s v="Puri"/>
    <s v="A"/>
    <s v="Pass"/>
  </r>
  <r>
    <s v="S0111"/>
    <s v="Priya Das"/>
    <x v="0"/>
    <n v="7"/>
    <s v="B"/>
    <s v="History"/>
    <n v="77"/>
    <n v="99"/>
    <s v="Sambalpur"/>
    <s v="B"/>
    <s v="Pass"/>
  </r>
  <r>
    <s v="S0112"/>
    <s v="Aditya Mohanty"/>
    <x v="1"/>
    <n v="6"/>
    <s v="B"/>
    <s v="Science"/>
    <n v="55"/>
    <n v="73"/>
    <s v="Sambalpur"/>
    <s v="F"/>
    <s v="Pass"/>
  </r>
  <r>
    <s v="S0113"/>
    <s v="Pooja Kumar"/>
    <x v="0"/>
    <n v="8"/>
    <s v="B"/>
    <s v="History"/>
    <n v="69"/>
    <n v="66"/>
    <s v="Angul"/>
    <s v="C"/>
    <s v="Pass"/>
  </r>
  <r>
    <s v="S0114"/>
    <s v="Neha Patra"/>
    <x v="1"/>
    <n v="9"/>
    <s v="A"/>
    <s v="Computer"/>
    <n v="92"/>
    <n v="66"/>
    <s v="Angul"/>
    <s v="A+"/>
    <s v="Pass"/>
  </r>
  <r>
    <s v="S0115"/>
    <s v="Pooja Das"/>
    <x v="0"/>
    <n v="7"/>
    <s v="C"/>
    <s v="History"/>
    <n v="73"/>
    <n v="92"/>
    <s v="Bhubaneswar"/>
    <s v="B"/>
    <s v="Pass"/>
  </r>
  <r>
    <s v="S0116"/>
    <s v="Rahul Nayak"/>
    <x v="0"/>
    <n v="10"/>
    <s v="C"/>
    <s v="English"/>
    <n v="41"/>
    <n v="68"/>
    <s v="Cuttack"/>
    <s v="F"/>
    <s v="Pass"/>
  </r>
  <r>
    <s v="S0117"/>
    <s v="Rahul Kumar"/>
    <x v="1"/>
    <n v="12"/>
    <s v="C"/>
    <s v="Computer"/>
    <n v="90"/>
    <n v="81"/>
    <s v="Bhubaneswar"/>
    <s v="A+"/>
    <s v="Pass"/>
  </r>
  <r>
    <s v="S0118"/>
    <s v="Rohit Sahoo"/>
    <x v="1"/>
    <n v="12"/>
    <s v="A"/>
    <s v="History"/>
    <n v="58"/>
    <n v="87"/>
    <s v="Bhubaneswar"/>
    <s v="F"/>
    <s v="Pass"/>
  </r>
  <r>
    <s v="S0119"/>
    <s v="Aditya Patra"/>
    <x v="1"/>
    <n v="6"/>
    <s v="B"/>
    <s v="Computer"/>
    <n v="63"/>
    <n v="75"/>
    <s v="Balasore"/>
    <s v="C"/>
    <s v="Pass"/>
  </r>
  <r>
    <s v="S0120"/>
    <s v="Rohit Sahoo"/>
    <x v="1"/>
    <n v="7"/>
    <s v="B"/>
    <s v="Science"/>
    <n v="100"/>
    <n v="93"/>
    <s v="Balasore"/>
    <s v="A+"/>
    <s v="Pass"/>
  </r>
  <r>
    <s v="S0121"/>
    <s v="Aarav Das"/>
    <x v="0"/>
    <n v="12"/>
    <s v="B"/>
    <s v="History"/>
    <n v="98"/>
    <n v="73"/>
    <s v="Balasore"/>
    <s v="A+"/>
    <s v="Pass"/>
  </r>
  <r>
    <s v="S0122"/>
    <s v="Priya Mohanty"/>
    <x v="0"/>
    <n v="10"/>
    <s v="B"/>
    <s v="Science"/>
    <n v="42"/>
    <n v="87"/>
    <s v="Bhubaneswar"/>
    <s v="F"/>
    <s v="Pass"/>
  </r>
  <r>
    <s v="S0123"/>
    <s v="Kiran Mohanty"/>
    <x v="1"/>
    <n v="6"/>
    <s v="C"/>
    <s v="Science"/>
    <n v="87"/>
    <n v="81"/>
    <s v="Rourkela"/>
    <s v="A"/>
    <s v="Pass"/>
  </r>
  <r>
    <s v="S0124"/>
    <s v="Riya Kumar"/>
    <x v="1"/>
    <n v="12"/>
    <s v="C"/>
    <s v="Science"/>
    <n v="90"/>
    <n v="85"/>
    <s v="Bhubaneswar"/>
    <s v="A+"/>
    <s v="Pass"/>
  </r>
  <r>
    <s v="S0125"/>
    <s v="Aarav Patra"/>
    <x v="1"/>
    <n v="11"/>
    <s v="B"/>
    <s v="English"/>
    <n v="93"/>
    <n v="69"/>
    <s v="Angul"/>
    <s v="A+"/>
    <s v="Pass"/>
  </r>
  <r>
    <s v="S0126"/>
    <s v="Amit Kumar"/>
    <x v="0"/>
    <n v="11"/>
    <s v="A"/>
    <s v="Math"/>
    <n v="67"/>
    <n v="60"/>
    <s v="Cuttack"/>
    <s v="C"/>
    <s v="Pass"/>
  </r>
  <r>
    <s v="S0127"/>
    <s v="Ananya Das"/>
    <x v="0"/>
    <n v="7"/>
    <s v="B"/>
    <s v="Science"/>
    <n v="59"/>
    <n v="83"/>
    <s v="Bhubaneswar"/>
    <s v="F"/>
    <s v="Pass"/>
  </r>
  <r>
    <s v="S0128"/>
    <s v="Kavya Sahoo"/>
    <x v="1"/>
    <n v="12"/>
    <s v="B"/>
    <s v="Computer"/>
    <n v="62"/>
    <n v="93"/>
    <s v="Puri"/>
    <s v="C"/>
    <s v="Pass"/>
  </r>
  <r>
    <s v="S0129"/>
    <s v="Amit Mohanty"/>
    <x v="0"/>
    <n v="12"/>
    <s v="C"/>
    <s v="History"/>
    <n v="54"/>
    <n v="64"/>
    <s v="Cuttack"/>
    <s v="F"/>
    <s v="Pass"/>
  </r>
  <r>
    <s v="S0130"/>
    <s v="Pooja Mohanty"/>
    <x v="0"/>
    <n v="12"/>
    <s v="A"/>
    <s v="English"/>
    <n v="89"/>
    <n v="81"/>
    <s v="Puri"/>
    <s v="A"/>
    <s v="Pass"/>
  </r>
  <r>
    <s v="S0131"/>
    <s v="Vivaan Nayak"/>
    <x v="0"/>
    <n v="12"/>
    <s v="C"/>
    <s v="History"/>
    <n v="53"/>
    <n v="78"/>
    <s v="Puri"/>
    <s v="F"/>
    <s v="Pass"/>
  </r>
  <r>
    <s v="S0132"/>
    <s v="Neha Kumar"/>
    <x v="1"/>
    <n v="11"/>
    <s v="C"/>
    <s v="History"/>
    <n v="98"/>
    <n v="82"/>
    <s v="Puri"/>
    <s v="A+"/>
    <s v="Pass"/>
  </r>
  <r>
    <s v="S0133"/>
    <s v="Vivaan Das"/>
    <x v="0"/>
    <n v="10"/>
    <s v="A"/>
    <s v="History"/>
    <n v="47"/>
    <n v="71"/>
    <s v="Rourkela"/>
    <s v="F"/>
    <s v="Pass"/>
  </r>
  <r>
    <s v="S0134"/>
    <s v="Priya Sahoo"/>
    <x v="0"/>
    <n v="6"/>
    <s v="A"/>
    <s v="Geography"/>
    <n v="95"/>
    <n v="85"/>
    <s v="Rourkela"/>
    <s v="A+"/>
    <s v="Pass"/>
  </r>
  <r>
    <s v="S0135"/>
    <s v="Aditya Mohanty"/>
    <x v="1"/>
    <n v="6"/>
    <s v="B"/>
    <s v="Math"/>
    <n v="95"/>
    <n v="67"/>
    <s v="Balasore"/>
    <s v="A+"/>
    <s v="Pass"/>
  </r>
  <r>
    <s v="S0136"/>
    <s v="Kavya Nayak"/>
    <x v="1"/>
    <n v="12"/>
    <s v="C"/>
    <s v="Math"/>
    <n v="98"/>
    <n v="94"/>
    <s v="Rourkela"/>
    <s v="A+"/>
    <s v="Pass"/>
  </r>
  <r>
    <s v="S0137"/>
    <s v="Amit Nayak"/>
    <x v="1"/>
    <n v="10"/>
    <s v="A"/>
    <s v="Geography"/>
    <n v="54"/>
    <n v="92"/>
    <s v="Puri"/>
    <s v="F"/>
    <s v="Pass"/>
  </r>
  <r>
    <s v="S0138"/>
    <s v="Aarav Sahoo"/>
    <x v="0"/>
    <n v="11"/>
    <s v="C"/>
    <s v="English"/>
    <n v="88"/>
    <n v="76"/>
    <s v="Cuttack"/>
    <s v="A"/>
    <s v="Pass"/>
  </r>
  <r>
    <s v="S0139"/>
    <s v="Kavya Patra"/>
    <x v="1"/>
    <n v="7"/>
    <s v="C"/>
    <s v="Geography"/>
    <n v="60"/>
    <n v="80"/>
    <s v="Bhubaneswar"/>
    <s v="C"/>
    <s v="Pass"/>
  </r>
  <r>
    <s v="S0140"/>
    <s v="Kiran Kumar"/>
    <x v="1"/>
    <n v="11"/>
    <s v="A"/>
    <s v="Science"/>
    <n v="63"/>
    <n v="63"/>
    <s v="Puri"/>
    <s v="C"/>
    <s v="Pass"/>
  </r>
  <r>
    <s v="S0141"/>
    <s v="Aditya Nayak"/>
    <x v="0"/>
    <n v="8"/>
    <s v="A"/>
    <s v="History"/>
    <n v="73"/>
    <n v="70"/>
    <s v="Balasore"/>
    <s v="B"/>
    <s v="Pass"/>
  </r>
  <r>
    <s v="S0142"/>
    <s v="Amit Sahoo"/>
    <x v="0"/>
    <n v="6"/>
    <s v="B"/>
    <s v="Math"/>
    <n v="70"/>
    <n v="68"/>
    <s v="Bhubaneswar"/>
    <s v="B"/>
    <s v="Pass"/>
  </r>
  <r>
    <s v="S0143"/>
    <s v="Sohan Sahoo"/>
    <x v="1"/>
    <n v="7"/>
    <s v="B"/>
    <s v="English"/>
    <n v="89"/>
    <n v="89"/>
    <s v="Sambalpur"/>
    <s v="A"/>
    <s v="Pass"/>
  </r>
  <r>
    <s v="S0144"/>
    <s v="Pooja Mohanty"/>
    <x v="1"/>
    <n v="6"/>
    <s v="C"/>
    <s v="Science"/>
    <n v="80"/>
    <n v="94"/>
    <s v="Bhubaneswar"/>
    <s v="A"/>
    <s v="Pass"/>
  </r>
  <r>
    <s v="S0145"/>
    <s v="Kiran Patra"/>
    <x v="0"/>
    <n v="11"/>
    <s v="A"/>
    <s v="History"/>
    <n v="55"/>
    <n v="88"/>
    <s v="Angul"/>
    <s v="F"/>
    <s v="Pass"/>
  </r>
  <r>
    <s v="S0146"/>
    <s v="Aarav Nayak"/>
    <x v="1"/>
    <n v="6"/>
    <s v="C"/>
    <s v="Computer"/>
    <n v="81"/>
    <n v="92"/>
    <s v="Cuttack"/>
    <s v="A"/>
    <s v="Pass"/>
  </r>
  <r>
    <s v="S0147"/>
    <s v="Sneha Mohanty"/>
    <x v="1"/>
    <n v="10"/>
    <s v="A"/>
    <s v="Computer"/>
    <n v="39"/>
    <n v="92"/>
    <s v="Sambalpur"/>
    <s v="F"/>
    <s v="Pass"/>
  </r>
  <r>
    <s v="S0148"/>
    <s v="Riya Mohanty"/>
    <x v="0"/>
    <n v="9"/>
    <s v="B"/>
    <s v="English"/>
    <n v="42"/>
    <n v="88"/>
    <s v="Angul"/>
    <s v="F"/>
    <s v="Pass"/>
  </r>
  <r>
    <s v="S0149"/>
    <s v="Amit Das"/>
    <x v="0"/>
    <n v="11"/>
    <s v="B"/>
    <s v="Math"/>
    <n v="68"/>
    <n v="75"/>
    <s v="Balasore"/>
    <s v="C"/>
    <s v="Pass"/>
  </r>
  <r>
    <s v="S0150"/>
    <s v="Priya Mohanty"/>
    <x v="0"/>
    <n v="7"/>
    <s v="C"/>
    <s v="English"/>
    <n v="93"/>
    <n v="98"/>
    <s v="Sambalpur"/>
    <s v="A+"/>
    <s v="Pass"/>
  </r>
  <r>
    <s v="S0151"/>
    <s v="Pooja Patra"/>
    <x v="0"/>
    <n v="7"/>
    <s v="A"/>
    <s v="Geography"/>
    <n v="40"/>
    <n v="90"/>
    <s v="Cuttack"/>
    <s v="F"/>
    <s v="Pass"/>
  </r>
  <r>
    <s v="S0152"/>
    <s v="Kiran Kumar"/>
    <x v="0"/>
    <n v="9"/>
    <s v="C"/>
    <s v="Computer"/>
    <n v="95"/>
    <n v="97"/>
    <s v="Bhubaneswar"/>
    <s v="A+"/>
    <s v="Pass"/>
  </r>
  <r>
    <s v="S0153"/>
    <s v="Sanjay Mohanty"/>
    <x v="1"/>
    <n v="7"/>
    <s v="B"/>
    <s v="Computer"/>
    <n v="49"/>
    <n v="77"/>
    <s v="Bhubaneswar"/>
    <s v="F"/>
    <s v="Pass"/>
  </r>
  <r>
    <s v="S0154"/>
    <s v="Rohit Kumar"/>
    <x v="1"/>
    <n v="8"/>
    <s v="A"/>
    <s v="Science"/>
    <n v="52"/>
    <n v="67"/>
    <s v="Rourkela"/>
    <s v="F"/>
    <s v="Pass"/>
  </r>
  <r>
    <s v="S0155"/>
    <s v="Pooja Das"/>
    <x v="0"/>
    <n v="7"/>
    <s v="C"/>
    <s v="Math"/>
    <n v="57"/>
    <n v="89"/>
    <s v="Cuttack"/>
    <s v="F"/>
    <s v="Pass"/>
  </r>
  <r>
    <s v="S0156"/>
    <s v="Pooja Kumar"/>
    <x v="0"/>
    <n v="10"/>
    <s v="C"/>
    <s v="History"/>
    <n v="68"/>
    <n v="87"/>
    <s v="Rourkela"/>
    <s v="C"/>
    <s v="Pass"/>
  </r>
  <r>
    <s v="S0157"/>
    <s v="Rahul Patra"/>
    <x v="1"/>
    <n v="7"/>
    <s v="C"/>
    <s v="Computer"/>
    <n v="50"/>
    <n v="68"/>
    <s v="Angul"/>
    <s v="F"/>
    <s v="Pass"/>
  </r>
  <r>
    <s v="S0158"/>
    <s v="Aarav Das"/>
    <x v="0"/>
    <n v="7"/>
    <s v="A"/>
    <s v="History"/>
    <n v="58"/>
    <n v="76"/>
    <s v="Puri"/>
    <s v="F"/>
    <s v="Pass"/>
  </r>
  <r>
    <s v="S0159"/>
    <s v="Riya Sahoo"/>
    <x v="0"/>
    <n v="10"/>
    <s v="C"/>
    <s v="English"/>
    <n v="38"/>
    <n v="67"/>
    <s v="Rourkela"/>
    <s v="F"/>
    <s v="Pass"/>
  </r>
  <r>
    <s v="S0160"/>
    <s v="Sneha Kumar"/>
    <x v="1"/>
    <n v="8"/>
    <s v="B"/>
    <s v="Science"/>
    <n v="88"/>
    <n v="63"/>
    <s v="Bhubaneswar"/>
    <s v="A"/>
    <s v="Pass"/>
  </r>
  <r>
    <s v="S0161"/>
    <s v="Amit Sahoo"/>
    <x v="1"/>
    <n v="6"/>
    <s v="C"/>
    <s v="English"/>
    <n v="97"/>
    <n v="75"/>
    <s v="Sambalpur"/>
    <s v="A+"/>
    <s v="Pass"/>
  </r>
  <r>
    <s v="S0162"/>
    <s v="Vivaan Mohanty"/>
    <x v="0"/>
    <n v="11"/>
    <s v="A"/>
    <s v="History"/>
    <n v="61"/>
    <n v="69"/>
    <s v="Angul"/>
    <s v="C"/>
    <s v="Pass"/>
  </r>
  <r>
    <s v="S0163"/>
    <s v="Rahul Mohanty"/>
    <x v="0"/>
    <n v="8"/>
    <s v="B"/>
    <s v="Science"/>
    <n v="36"/>
    <n v="70"/>
    <s v="Puri"/>
    <s v="F"/>
    <s v="Pass"/>
  </r>
  <r>
    <s v="S0164"/>
    <s v="Aditya Das"/>
    <x v="0"/>
    <n v="9"/>
    <s v="C"/>
    <s v="English"/>
    <n v="36"/>
    <n v="73"/>
    <s v="Bhubaneswar"/>
    <s v="F"/>
    <s v="Pass"/>
  </r>
  <r>
    <s v="S0165"/>
    <s v="Rohit Sahoo"/>
    <x v="1"/>
    <n v="10"/>
    <s v="A"/>
    <s v="Science"/>
    <n v="94"/>
    <n v="61"/>
    <s v="Cuttack"/>
    <s v="A+"/>
    <s v="Pass"/>
  </r>
  <r>
    <s v="S0166"/>
    <s v="Rohit Nayak"/>
    <x v="1"/>
    <n v="12"/>
    <s v="C"/>
    <s v="English"/>
    <n v="39"/>
    <n v="77"/>
    <s v="Rourkela"/>
    <s v="F"/>
    <s v="Pass"/>
  </r>
  <r>
    <s v="S0167"/>
    <s v="Amit Nayak"/>
    <x v="0"/>
    <n v="11"/>
    <s v="B"/>
    <s v="Computer"/>
    <n v="92"/>
    <n v="72"/>
    <s v="Angul"/>
    <s v="A+"/>
    <s v="Pass"/>
  </r>
  <r>
    <s v="S0168"/>
    <s v="Neha Kumar"/>
    <x v="1"/>
    <n v="9"/>
    <s v="C"/>
    <s v="History"/>
    <n v="69"/>
    <n v="79"/>
    <s v="Cuttack"/>
    <s v="C"/>
    <s v="Pass"/>
  </r>
  <r>
    <s v="S0169"/>
    <s v="Kavya Kumar"/>
    <x v="0"/>
    <n v="7"/>
    <s v="B"/>
    <s v="English"/>
    <n v="57"/>
    <n v="66"/>
    <s v="Angul"/>
    <s v="F"/>
    <s v="Pass"/>
  </r>
  <r>
    <s v="S0170"/>
    <s v="Riya Nayak"/>
    <x v="1"/>
    <n v="9"/>
    <s v="A"/>
    <s v="English"/>
    <n v="51"/>
    <n v="79"/>
    <s v="Angul"/>
    <s v="F"/>
    <s v="Pass"/>
  </r>
  <r>
    <s v="S0171"/>
    <s v="Sohan Das"/>
    <x v="1"/>
    <n v="7"/>
    <s v="B"/>
    <s v="Math"/>
    <n v="48"/>
    <n v="84"/>
    <s v="Balasore"/>
    <s v="F"/>
    <s v="Pass"/>
  </r>
  <r>
    <s v="S0172"/>
    <s v="Kiran Sahoo"/>
    <x v="0"/>
    <n v="6"/>
    <s v="C"/>
    <s v="Science"/>
    <n v="39"/>
    <n v="86"/>
    <s v="Cuttack"/>
    <s v="F"/>
    <s v="Pass"/>
  </r>
  <r>
    <s v="S0173"/>
    <s v="Neha Nayak"/>
    <x v="0"/>
    <n v="10"/>
    <s v="B"/>
    <s v="English"/>
    <n v="67"/>
    <n v="95"/>
    <s v="Bhubaneswar"/>
    <s v="C"/>
    <s v="Pass"/>
  </r>
  <r>
    <s v="S0174"/>
    <s v="Sneha Nayak"/>
    <x v="0"/>
    <n v="11"/>
    <s v="B"/>
    <s v="Computer"/>
    <n v="100"/>
    <n v="77"/>
    <s v="Sambalpur"/>
    <s v="A+"/>
    <s v="Pass"/>
  </r>
  <r>
    <s v="S0175"/>
    <s v="Rahul Das"/>
    <x v="1"/>
    <n v="12"/>
    <s v="A"/>
    <s v="Geography"/>
    <n v="49"/>
    <n v="81"/>
    <s v="Balasore"/>
    <s v="F"/>
    <s v="Pass"/>
  </r>
  <r>
    <s v="S0176"/>
    <s v="Kiran Das"/>
    <x v="1"/>
    <n v="7"/>
    <s v="B"/>
    <s v="Math"/>
    <n v="68"/>
    <n v="81"/>
    <s v="Rourkela"/>
    <s v="C"/>
    <s v="Pass"/>
  </r>
  <r>
    <s v="S0177"/>
    <s v="Sneha Mohanty"/>
    <x v="0"/>
    <n v="10"/>
    <s v="A"/>
    <s v="Geography"/>
    <n v="70"/>
    <n v="85"/>
    <s v="Cuttack"/>
    <s v="B"/>
    <s v="Pass"/>
  </r>
  <r>
    <s v="S0178"/>
    <s v="Sneha Das"/>
    <x v="0"/>
    <n v="6"/>
    <s v="B"/>
    <s v="English"/>
    <n v="54"/>
    <n v="62"/>
    <s v="Bhubaneswar"/>
    <s v="F"/>
    <s v="Pass"/>
  </r>
  <r>
    <s v="S0179"/>
    <s v="Aarav Sahoo"/>
    <x v="1"/>
    <n v="8"/>
    <s v="B"/>
    <s v="Computer"/>
    <n v="37"/>
    <n v="82"/>
    <s v="Cuttack"/>
    <s v="F"/>
    <s v="Pass"/>
  </r>
  <r>
    <s v="S0180"/>
    <s v="Aditya Mohanty"/>
    <x v="0"/>
    <n v="6"/>
    <s v="B"/>
    <s v="Computer"/>
    <n v="50"/>
    <n v="60"/>
    <s v="Sambalpur"/>
    <s v="F"/>
    <s v="Pass"/>
  </r>
  <r>
    <s v="S0181"/>
    <s v="Neha Kumar"/>
    <x v="1"/>
    <n v="9"/>
    <s v="A"/>
    <s v="Science"/>
    <n v="70"/>
    <n v="75"/>
    <s v="Balasore"/>
    <s v="B"/>
    <s v="Pass"/>
  </r>
  <r>
    <s v="S0182"/>
    <s v="Sohan Sahoo"/>
    <x v="1"/>
    <n v="11"/>
    <s v="B"/>
    <s v="Math"/>
    <n v="69"/>
    <n v="97"/>
    <s v="Balasore"/>
    <s v="C"/>
    <s v="Pass"/>
  </r>
  <r>
    <s v="S0183"/>
    <s v="Kavya Patra"/>
    <x v="1"/>
    <n v="12"/>
    <s v="C"/>
    <s v="Science"/>
    <n v="88"/>
    <n v="75"/>
    <s v="Bhubaneswar"/>
    <s v="A"/>
    <s v="Pass"/>
  </r>
  <r>
    <s v="S0184"/>
    <s v="Ananya Kumar"/>
    <x v="0"/>
    <n v="10"/>
    <s v="A"/>
    <s v="Computer"/>
    <n v="81"/>
    <n v="61"/>
    <s v="Puri"/>
    <s v="A"/>
    <s v="Pass"/>
  </r>
  <r>
    <s v="S0185"/>
    <s v="Sanjay Das"/>
    <x v="0"/>
    <n v="6"/>
    <s v="C"/>
    <s v="Science"/>
    <n v="82"/>
    <n v="94"/>
    <s v="Bhubaneswar"/>
    <s v="A"/>
    <s v="Pass"/>
  </r>
  <r>
    <s v="S0186"/>
    <s v="Sohan Patra"/>
    <x v="0"/>
    <n v="11"/>
    <s v="A"/>
    <s v="English"/>
    <n v="41"/>
    <n v="77"/>
    <s v="Puri"/>
    <s v="F"/>
    <s v="Pass"/>
  </r>
  <r>
    <s v="S0187"/>
    <s v="Ananya Sahoo"/>
    <x v="1"/>
    <n v="6"/>
    <s v="A"/>
    <s v="Math"/>
    <n v="35"/>
    <n v="80"/>
    <s v="Bhubaneswar"/>
    <s v="F"/>
    <s v="Pass"/>
  </r>
  <r>
    <s v="S0188"/>
    <s v="Kiran Patra"/>
    <x v="1"/>
    <n v="10"/>
    <s v="B"/>
    <s v="History"/>
    <n v="77"/>
    <n v="88"/>
    <s v="Sambalpur"/>
    <s v="B"/>
    <s v="Pass"/>
  </r>
  <r>
    <s v="S0189"/>
    <s v="Kavya Sahoo"/>
    <x v="0"/>
    <n v="9"/>
    <s v="A"/>
    <s v="Computer"/>
    <n v="74"/>
    <n v="79"/>
    <s v="Puri"/>
    <s v="B"/>
    <s v="Pass"/>
  </r>
  <r>
    <s v="S0190"/>
    <s v="Sneha Nayak"/>
    <x v="1"/>
    <n v="6"/>
    <s v="B"/>
    <s v="Computer"/>
    <n v="91"/>
    <n v="80"/>
    <s v="Puri"/>
    <s v="A+"/>
    <s v="Pass"/>
  </r>
  <r>
    <s v="S0191"/>
    <s v="Rahul Sahoo"/>
    <x v="0"/>
    <n v="12"/>
    <s v="C"/>
    <s v="Science"/>
    <n v="41"/>
    <n v="60"/>
    <s v="Puri"/>
    <s v="F"/>
    <s v="Pass"/>
  </r>
  <r>
    <s v="S0192"/>
    <s v="Sohan Sahoo"/>
    <x v="0"/>
    <n v="6"/>
    <s v="A"/>
    <s v="History"/>
    <n v="48"/>
    <n v="87"/>
    <s v="Angul"/>
    <s v="F"/>
    <s v="Pass"/>
  </r>
  <r>
    <s v="S0193"/>
    <s v="Aarav Kumar"/>
    <x v="0"/>
    <n v="11"/>
    <s v="B"/>
    <s v="Computer"/>
    <n v="37"/>
    <n v="60"/>
    <s v="Puri"/>
    <s v="F"/>
    <s v="Pass"/>
  </r>
  <r>
    <s v="S0194"/>
    <s v="Sanjay Sahoo"/>
    <x v="1"/>
    <n v="11"/>
    <s v="B"/>
    <s v="Computer"/>
    <n v="83"/>
    <n v="87"/>
    <s v="Sambalpur"/>
    <s v="A"/>
    <s v="Pass"/>
  </r>
  <r>
    <s v="S0195"/>
    <s v="Sanjay Nayak"/>
    <x v="1"/>
    <n v="9"/>
    <s v="A"/>
    <s v="Computer"/>
    <n v="48"/>
    <n v="97"/>
    <s v="Sambalpur"/>
    <s v="F"/>
    <s v="Pass"/>
  </r>
  <r>
    <s v="S0196"/>
    <s v="Sanjay Das"/>
    <x v="0"/>
    <n v="11"/>
    <s v="C"/>
    <s v="Geography"/>
    <n v="50"/>
    <n v="81"/>
    <s v="Angul"/>
    <s v="F"/>
    <s v="Pass"/>
  </r>
  <r>
    <s v="S0197"/>
    <s v="Neha Kumar"/>
    <x v="1"/>
    <n v="12"/>
    <s v="A"/>
    <s v="History"/>
    <n v="86"/>
    <n v="79"/>
    <s v="Puri"/>
    <s v="A"/>
    <s v="Pass"/>
  </r>
  <r>
    <s v="S0198"/>
    <s v="Ananya Sahoo"/>
    <x v="1"/>
    <n v="8"/>
    <s v="C"/>
    <s v="History"/>
    <n v="89"/>
    <n v="74"/>
    <s v="Cuttack"/>
    <s v="A"/>
    <s v="Pass"/>
  </r>
  <r>
    <s v="S0199"/>
    <s v="Vivaan Mohanty"/>
    <x v="1"/>
    <n v="12"/>
    <s v="B"/>
    <s v="Geography"/>
    <n v="70"/>
    <n v="99"/>
    <s v="Balasore"/>
    <s v="B"/>
    <s v="Pass"/>
  </r>
  <r>
    <s v="S0200"/>
    <s v="Kavya Das"/>
    <x v="0"/>
    <n v="10"/>
    <s v="A"/>
    <s v="Computer"/>
    <n v="97"/>
    <n v="73"/>
    <s v="Rourkela"/>
    <s v="A+"/>
    <s v="Pass"/>
  </r>
  <r>
    <s v="S0201"/>
    <s v="Riya Das"/>
    <x v="1"/>
    <n v="12"/>
    <s v="C"/>
    <s v="Math"/>
    <n v="35"/>
    <n v="83"/>
    <s v="Rourkela"/>
    <s v="F"/>
    <s v="Pass"/>
  </r>
  <r>
    <s v="S0202"/>
    <s v="Kiran Das"/>
    <x v="0"/>
    <n v="7"/>
    <s v="A"/>
    <s v="Math"/>
    <n v="41"/>
    <n v="77"/>
    <s v="Rourkela"/>
    <s v="F"/>
    <s v="Pass"/>
  </r>
  <r>
    <s v="S0203"/>
    <s v="Priya Kumar"/>
    <x v="0"/>
    <n v="11"/>
    <s v="C"/>
    <s v="Science"/>
    <n v="72"/>
    <n v="80"/>
    <s v="Puri"/>
    <s v="B"/>
    <s v="Pass"/>
  </r>
  <r>
    <s v="S0204"/>
    <s v="Pooja Mohanty"/>
    <x v="0"/>
    <n v="8"/>
    <s v="A"/>
    <s v="Geography"/>
    <n v="67"/>
    <n v="67"/>
    <s v="Bhubaneswar"/>
    <s v="C"/>
    <s v="Pass"/>
  </r>
  <r>
    <s v="S0205"/>
    <s v="Neha Das"/>
    <x v="0"/>
    <n v="12"/>
    <s v="B"/>
    <s v="Math"/>
    <n v="99"/>
    <n v="85"/>
    <s v="Balasore"/>
    <s v="A+"/>
    <s v="Pass"/>
  </r>
  <r>
    <s v="S0206"/>
    <s v="Sanjay Sahoo"/>
    <x v="1"/>
    <n v="12"/>
    <s v="A"/>
    <s v="Computer"/>
    <n v="44"/>
    <n v="96"/>
    <s v="Cuttack"/>
    <s v="F"/>
    <s v="Pass"/>
  </r>
  <r>
    <s v="S0207"/>
    <s v="Neha Mohanty"/>
    <x v="0"/>
    <n v="12"/>
    <s v="C"/>
    <s v="Math"/>
    <n v="62"/>
    <n v="84"/>
    <s v="Bhubaneswar"/>
    <s v="C"/>
    <s v="Pass"/>
  </r>
  <r>
    <s v="S0208"/>
    <s v="Riya Nayak"/>
    <x v="0"/>
    <n v="7"/>
    <s v="C"/>
    <s v="History"/>
    <n v="63"/>
    <n v="80"/>
    <s v="Cuttack"/>
    <s v="C"/>
    <s v="Pass"/>
  </r>
  <r>
    <s v="S0209"/>
    <s v="Kavya Kumar"/>
    <x v="1"/>
    <n v="11"/>
    <s v="A"/>
    <s v="Geography"/>
    <n v="85"/>
    <n v="96"/>
    <s v="Bhubaneswar"/>
    <s v="A"/>
    <s v="Pass"/>
  </r>
  <r>
    <s v="S0210"/>
    <s v="Kiran Sahoo"/>
    <x v="0"/>
    <n v="12"/>
    <s v="B"/>
    <s v="History"/>
    <n v="56"/>
    <n v="73"/>
    <s v="Balasore"/>
    <s v="F"/>
    <s v="Pass"/>
  </r>
  <r>
    <s v="S0211"/>
    <s v="Sanjay Nayak"/>
    <x v="1"/>
    <n v="9"/>
    <s v="C"/>
    <s v="Math"/>
    <n v="60"/>
    <n v="75"/>
    <s v="Angul"/>
    <s v="C"/>
    <s v="Pass"/>
  </r>
  <r>
    <s v="S0212"/>
    <s v="Ananya Nayak"/>
    <x v="1"/>
    <n v="8"/>
    <s v="A"/>
    <s v="Geography"/>
    <n v="47"/>
    <n v="96"/>
    <s v="Sambalpur"/>
    <s v="F"/>
    <s v="Pass"/>
  </r>
  <r>
    <s v="S0213"/>
    <s v="Pooja Das"/>
    <x v="0"/>
    <n v="9"/>
    <s v="A"/>
    <s v="Geography"/>
    <n v="89"/>
    <n v="69"/>
    <s v="Angul"/>
    <s v="A"/>
    <s v="Pass"/>
  </r>
  <r>
    <s v="S0214"/>
    <s v="Riya Patra"/>
    <x v="0"/>
    <n v="11"/>
    <s v="A"/>
    <s v="Math"/>
    <n v="83"/>
    <n v="77"/>
    <s v="Angul"/>
    <s v="A"/>
    <s v="Pass"/>
  </r>
  <r>
    <s v="S0215"/>
    <s v="Riya Nayak"/>
    <x v="0"/>
    <n v="8"/>
    <s v="A"/>
    <s v="History"/>
    <n v="70"/>
    <n v="99"/>
    <s v="Cuttack"/>
    <s v="B"/>
    <s v="Pass"/>
  </r>
  <r>
    <s v="S0216"/>
    <s v="Riya Das"/>
    <x v="1"/>
    <n v="6"/>
    <s v="B"/>
    <s v="Science"/>
    <n v="37"/>
    <n v="77"/>
    <s v="Balasore"/>
    <s v="F"/>
    <s v="Pass"/>
  </r>
  <r>
    <s v="S0217"/>
    <s v="Kavya Sahoo"/>
    <x v="0"/>
    <n v="6"/>
    <s v="B"/>
    <s v="History"/>
    <n v="35"/>
    <n v="64"/>
    <s v="Cuttack"/>
    <s v="F"/>
    <s v="Pass"/>
  </r>
  <r>
    <s v="S0218"/>
    <s v="Amit Sahoo"/>
    <x v="0"/>
    <n v="8"/>
    <s v="A"/>
    <s v="Science"/>
    <n v="66"/>
    <n v="81"/>
    <s v="Balasore"/>
    <s v="C"/>
    <s v="Pass"/>
  </r>
  <r>
    <s v="S0219"/>
    <s v="Sneha Mohanty"/>
    <x v="1"/>
    <n v="10"/>
    <s v="B"/>
    <s v="History"/>
    <n v="61"/>
    <n v="75"/>
    <s v="Angul"/>
    <s v="C"/>
    <s v="Pass"/>
  </r>
  <r>
    <s v="S0220"/>
    <s v="Kiran Mohanty"/>
    <x v="1"/>
    <n v="9"/>
    <s v="B"/>
    <s v="History"/>
    <n v="77"/>
    <n v="100"/>
    <s v="Puri"/>
    <s v="B"/>
    <s v="Pass"/>
  </r>
  <r>
    <s v="S0221"/>
    <s v="Amit Mohanty"/>
    <x v="0"/>
    <n v="7"/>
    <s v="A"/>
    <s v="Math"/>
    <n v="45"/>
    <n v="60"/>
    <s v="Bhubaneswar"/>
    <s v="F"/>
    <s v="Pass"/>
  </r>
  <r>
    <s v="S0222"/>
    <s v="Sohan Patra"/>
    <x v="1"/>
    <n v="6"/>
    <s v="B"/>
    <s v="Geography"/>
    <n v="38"/>
    <n v="66"/>
    <s v="Angul"/>
    <s v="F"/>
    <s v="Pass"/>
  </r>
  <r>
    <s v="S0223"/>
    <s v="Vivaan Kumar"/>
    <x v="0"/>
    <n v="7"/>
    <s v="A"/>
    <s v="English"/>
    <n v="84"/>
    <n v="63"/>
    <s v="Cuttack"/>
    <s v="A"/>
    <s v="Pass"/>
  </r>
  <r>
    <s v="S0224"/>
    <s v="Sneha Das"/>
    <x v="0"/>
    <n v="9"/>
    <s v="B"/>
    <s v="English"/>
    <n v="96"/>
    <n v="67"/>
    <s v="Puri"/>
    <s v="A+"/>
    <s v="Pass"/>
  </r>
  <r>
    <s v="S0225"/>
    <s v="Aditya Patra"/>
    <x v="0"/>
    <n v="6"/>
    <s v="C"/>
    <s v="Geography"/>
    <n v="56"/>
    <n v="100"/>
    <s v="Sambalpur"/>
    <s v="F"/>
    <s v="Pass"/>
  </r>
  <r>
    <s v="S0226"/>
    <s v="Priya Das"/>
    <x v="0"/>
    <n v="9"/>
    <s v="B"/>
    <s v="History"/>
    <n v="100"/>
    <n v="82"/>
    <s v="Bhubaneswar"/>
    <s v="A+"/>
    <s v="Pass"/>
  </r>
  <r>
    <s v="S0227"/>
    <s v="Sanjay Nayak"/>
    <x v="1"/>
    <n v="8"/>
    <s v="B"/>
    <s v="Math"/>
    <n v="35"/>
    <n v="61"/>
    <s v="Sambalpur"/>
    <s v="F"/>
    <s v="Pass"/>
  </r>
  <r>
    <s v="S0228"/>
    <s v="Kavya Patra"/>
    <x v="1"/>
    <n v="6"/>
    <s v="A"/>
    <s v="History"/>
    <n v="90"/>
    <n v="62"/>
    <s v="Angul"/>
    <s v="A+"/>
    <s v="Pass"/>
  </r>
  <r>
    <s v="S0229"/>
    <s v="Rohit Mohanty"/>
    <x v="0"/>
    <n v="11"/>
    <s v="C"/>
    <s v="Math"/>
    <n v="89"/>
    <n v="96"/>
    <s v="Sambalpur"/>
    <s v="A"/>
    <s v="Pass"/>
  </r>
  <r>
    <s v="S0230"/>
    <s v="Sneha Nayak"/>
    <x v="0"/>
    <n v="9"/>
    <s v="A"/>
    <s v="English"/>
    <n v="100"/>
    <n v="78"/>
    <s v="Rourkela"/>
    <s v="A+"/>
    <s v="Pass"/>
  </r>
  <r>
    <s v="S0231"/>
    <s v="Sneha Mohanty"/>
    <x v="0"/>
    <n v="7"/>
    <s v="A"/>
    <s v="History"/>
    <n v="64"/>
    <n v="85"/>
    <s v="Angul"/>
    <s v="C"/>
    <s v="Pass"/>
  </r>
  <r>
    <s v="S0232"/>
    <s v="Priya Sahoo"/>
    <x v="0"/>
    <n v="10"/>
    <s v="C"/>
    <s v="Computer"/>
    <n v="75"/>
    <n v="100"/>
    <s v="Rourkela"/>
    <s v="B"/>
    <s v="Pass"/>
  </r>
  <r>
    <s v="S0233"/>
    <s v="Rahul Sahoo"/>
    <x v="0"/>
    <n v="7"/>
    <s v="A"/>
    <s v="Science"/>
    <n v="54"/>
    <n v="86"/>
    <s v="Sambalpur"/>
    <s v="F"/>
    <s v="Pass"/>
  </r>
  <r>
    <s v="S0234"/>
    <s v="Pooja Mohanty"/>
    <x v="1"/>
    <n v="9"/>
    <s v="B"/>
    <s v="Science"/>
    <n v="39"/>
    <n v="96"/>
    <s v="Angul"/>
    <s v="F"/>
    <s v="Pass"/>
  </r>
  <r>
    <s v="S0235"/>
    <s v="Amit Sahoo"/>
    <x v="1"/>
    <n v="9"/>
    <s v="C"/>
    <s v="Science"/>
    <n v="72"/>
    <n v="82"/>
    <s v="Angul"/>
    <s v="B"/>
    <s v="Pass"/>
  </r>
  <r>
    <s v="S0236"/>
    <s v="Rohit Mohanty"/>
    <x v="1"/>
    <n v="8"/>
    <s v="B"/>
    <s v="History"/>
    <n v="55"/>
    <n v="92"/>
    <s v="Angul"/>
    <s v="F"/>
    <s v="Pass"/>
  </r>
  <r>
    <s v="S0237"/>
    <s v="Rohit Nayak"/>
    <x v="1"/>
    <n v="11"/>
    <s v="C"/>
    <s v="Computer"/>
    <n v="49"/>
    <n v="67"/>
    <s v="Rourkela"/>
    <s v="F"/>
    <s v="Pass"/>
  </r>
  <r>
    <s v="S0238"/>
    <s v="Rahul Mohanty"/>
    <x v="0"/>
    <n v="12"/>
    <s v="A"/>
    <s v="Computer"/>
    <n v="92"/>
    <n v="87"/>
    <s v="Sambalpur"/>
    <s v="A+"/>
    <s v="Pass"/>
  </r>
  <r>
    <s v="S0239"/>
    <s v="Neha Das"/>
    <x v="1"/>
    <n v="9"/>
    <s v="A"/>
    <s v="Computer"/>
    <n v="37"/>
    <n v="72"/>
    <s v="Cuttack"/>
    <s v="F"/>
    <s v="Pass"/>
  </r>
  <r>
    <s v="S0240"/>
    <s v="Aditya Patra"/>
    <x v="1"/>
    <n v="7"/>
    <s v="C"/>
    <s v="English"/>
    <n v="89"/>
    <n v="85"/>
    <s v="Balasore"/>
    <s v="A"/>
    <s v="Pass"/>
  </r>
  <r>
    <s v="S0241"/>
    <s v="Amit Nayak"/>
    <x v="0"/>
    <n v="11"/>
    <s v="A"/>
    <s v="History"/>
    <n v="45"/>
    <n v="98"/>
    <s v="Cuttack"/>
    <s v="F"/>
    <s v="Pass"/>
  </r>
  <r>
    <s v="S0242"/>
    <s v="Kavya Kumar"/>
    <x v="0"/>
    <n v="8"/>
    <s v="A"/>
    <s v="English"/>
    <n v="73"/>
    <n v="85"/>
    <s v="Balasore"/>
    <s v="B"/>
    <s v="Pass"/>
  </r>
  <r>
    <s v="S0243"/>
    <s v="Ananya Kumar"/>
    <x v="1"/>
    <n v="9"/>
    <s v="A"/>
    <s v="History"/>
    <n v="46"/>
    <n v="64"/>
    <s v="Angul"/>
    <s v="F"/>
    <s v="Pass"/>
  </r>
  <r>
    <s v="S0244"/>
    <s v="Sneha Nayak"/>
    <x v="0"/>
    <n v="9"/>
    <s v="B"/>
    <s v="Computer"/>
    <n v="99"/>
    <n v="90"/>
    <s v="Cuttack"/>
    <s v="A+"/>
    <s v="Pass"/>
  </r>
  <r>
    <s v="S0245"/>
    <s v="Kiran Mohanty"/>
    <x v="0"/>
    <n v="11"/>
    <s v="C"/>
    <s v="Geography"/>
    <n v="39"/>
    <n v="79"/>
    <s v="Bhubaneswar"/>
    <s v="F"/>
    <s v="Pass"/>
  </r>
  <r>
    <s v="S0246"/>
    <s v="Aarav Nayak"/>
    <x v="0"/>
    <n v="8"/>
    <s v="C"/>
    <s v="English"/>
    <n v="71"/>
    <n v="91"/>
    <s v="Sambalpur"/>
    <s v="B"/>
    <s v="Pass"/>
  </r>
  <r>
    <s v="S0247"/>
    <s v="Rohit Nayak"/>
    <x v="1"/>
    <n v="6"/>
    <s v="A"/>
    <s v="Math"/>
    <n v="72"/>
    <n v="74"/>
    <s v="Puri"/>
    <s v="B"/>
    <s v="Pass"/>
  </r>
  <r>
    <s v="S0248"/>
    <s v="Kavya Mohanty"/>
    <x v="1"/>
    <n v="12"/>
    <s v="B"/>
    <s v="Geography"/>
    <n v="76"/>
    <n v="81"/>
    <s v="Angul"/>
    <s v="B"/>
    <s v="Pass"/>
  </r>
  <r>
    <s v="S0249"/>
    <s v="Amit Das"/>
    <x v="1"/>
    <n v="8"/>
    <s v="A"/>
    <s v="History"/>
    <n v="53"/>
    <n v="83"/>
    <s v="Puri"/>
    <s v="F"/>
    <s v="Pass"/>
  </r>
  <r>
    <s v="S0250"/>
    <s v="Kavya Sahoo"/>
    <x v="0"/>
    <n v="11"/>
    <s v="B"/>
    <s v="English"/>
    <n v="38"/>
    <n v="86"/>
    <s v="Cuttack"/>
    <s v="F"/>
    <s v="Pass"/>
  </r>
  <r>
    <s v="S0251"/>
    <s v="Kiran Kumar"/>
    <x v="1"/>
    <n v="8"/>
    <s v="C"/>
    <s v="English"/>
    <n v="98"/>
    <n v="91"/>
    <s v="Bhubaneswar"/>
    <s v="A+"/>
    <s v="Pass"/>
  </r>
  <r>
    <s v="S0252"/>
    <s v="Kavya Kumar"/>
    <x v="0"/>
    <n v="12"/>
    <s v="B"/>
    <s v="Science"/>
    <n v="65"/>
    <n v="87"/>
    <s v="Sambalpur"/>
    <s v="C"/>
    <s v="Pass"/>
  </r>
  <r>
    <s v="S0253"/>
    <s v="Rahul Nayak"/>
    <x v="0"/>
    <n v="8"/>
    <s v="A"/>
    <s v="History"/>
    <n v="48"/>
    <n v="64"/>
    <s v="Cuttack"/>
    <s v="F"/>
    <s v="Pass"/>
  </r>
  <r>
    <s v="S0254"/>
    <s v="Pooja Patra"/>
    <x v="1"/>
    <n v="7"/>
    <s v="B"/>
    <s v="English"/>
    <n v="86"/>
    <n v="95"/>
    <s v="Rourkela"/>
    <s v="A"/>
    <s v="Pass"/>
  </r>
  <r>
    <s v="S0255"/>
    <s v="Amit Nayak"/>
    <x v="1"/>
    <n v="12"/>
    <s v="B"/>
    <s v="Science"/>
    <n v="85"/>
    <n v="80"/>
    <s v="Sambalpur"/>
    <s v="A"/>
    <s v="Pass"/>
  </r>
  <r>
    <s v="S0256"/>
    <s v="Kavya Kumar"/>
    <x v="0"/>
    <n v="7"/>
    <s v="A"/>
    <s v="History"/>
    <n v="88"/>
    <n v="82"/>
    <s v="Angul"/>
    <s v="A"/>
    <s v="Pass"/>
  </r>
  <r>
    <s v="S0257"/>
    <s v="Vivaan Das"/>
    <x v="0"/>
    <n v="6"/>
    <s v="B"/>
    <s v="Science"/>
    <n v="89"/>
    <n v="92"/>
    <s v="Balasore"/>
    <s v="A"/>
    <s v="Pass"/>
  </r>
  <r>
    <s v="S0258"/>
    <s v="Priya Patra"/>
    <x v="1"/>
    <n v="12"/>
    <s v="A"/>
    <s v="English"/>
    <n v="81"/>
    <n v="69"/>
    <s v="Bhubaneswar"/>
    <s v="A"/>
    <s v="Pass"/>
  </r>
  <r>
    <s v="S0259"/>
    <s v="Rahul Nayak"/>
    <x v="1"/>
    <n v="6"/>
    <s v="C"/>
    <s v="Math"/>
    <n v="55"/>
    <n v="99"/>
    <s v="Sambalpur"/>
    <s v="F"/>
    <s v="Pass"/>
  </r>
  <r>
    <s v="S0260"/>
    <s v="Aarav Nayak"/>
    <x v="0"/>
    <n v="7"/>
    <s v="B"/>
    <s v="Science"/>
    <n v="50"/>
    <n v="95"/>
    <s v="Puri"/>
    <s v="F"/>
    <s v="Pass"/>
  </r>
  <r>
    <s v="S0261"/>
    <s v="Rahul Kumar"/>
    <x v="1"/>
    <n v="7"/>
    <s v="A"/>
    <s v="Geography"/>
    <n v="67"/>
    <n v="77"/>
    <s v="Sambalpur"/>
    <s v="C"/>
    <s v="Pass"/>
  </r>
  <r>
    <s v="S0262"/>
    <s v="Amit Das"/>
    <x v="0"/>
    <n v="6"/>
    <s v="C"/>
    <s v="History"/>
    <n v="85"/>
    <n v="68"/>
    <s v="Angul"/>
    <s v="A"/>
    <s v="Pass"/>
  </r>
  <r>
    <s v="S0263"/>
    <s v="Sohan Das"/>
    <x v="1"/>
    <n v="7"/>
    <s v="A"/>
    <s v="English"/>
    <n v="84"/>
    <n v="86"/>
    <s v="Angul"/>
    <s v="A"/>
    <s v="Pass"/>
  </r>
  <r>
    <s v="S0264"/>
    <s v="Sanjay Sahoo"/>
    <x v="1"/>
    <n v="9"/>
    <s v="A"/>
    <s v="Computer"/>
    <n v="59"/>
    <n v="73"/>
    <s v="Angul"/>
    <s v="F"/>
    <s v="Pass"/>
  </r>
  <r>
    <s v="S0265"/>
    <s v="Rahul Nayak"/>
    <x v="1"/>
    <n v="7"/>
    <s v="A"/>
    <s v="Science"/>
    <n v="70"/>
    <n v="75"/>
    <s v="Cuttack"/>
    <s v="B"/>
    <s v="Pass"/>
  </r>
  <r>
    <s v="S0266"/>
    <s v="Kiran Patra"/>
    <x v="0"/>
    <n v="11"/>
    <s v="B"/>
    <s v="Geography"/>
    <n v="60"/>
    <n v="96"/>
    <s v="Angul"/>
    <s v="C"/>
    <s v="Pass"/>
  </r>
  <r>
    <s v="S0267"/>
    <s v="Kiran Nayak"/>
    <x v="1"/>
    <n v="7"/>
    <s v="C"/>
    <s v="History"/>
    <n v="98"/>
    <n v="97"/>
    <s v="Puri"/>
    <s v="A+"/>
    <s v="Pass"/>
  </r>
  <r>
    <s v="S0268"/>
    <s v="Kiran Patra"/>
    <x v="0"/>
    <n v="9"/>
    <s v="C"/>
    <s v="English"/>
    <n v="97"/>
    <n v="67"/>
    <s v="Rourkela"/>
    <s v="A+"/>
    <s v="Pass"/>
  </r>
  <r>
    <s v="S0269"/>
    <s v="Sneha Sahoo"/>
    <x v="0"/>
    <n v="10"/>
    <s v="C"/>
    <s v="Math"/>
    <n v="52"/>
    <n v="100"/>
    <s v="Rourkela"/>
    <s v="F"/>
    <s v="Pass"/>
  </r>
  <r>
    <s v="S0270"/>
    <s v="Rahul Patra"/>
    <x v="1"/>
    <n v="9"/>
    <s v="A"/>
    <s v="History"/>
    <n v="77"/>
    <n v="91"/>
    <s v="Balasore"/>
    <s v="B"/>
    <s v="Pass"/>
  </r>
  <r>
    <s v="S0271"/>
    <s v="Amit Kumar"/>
    <x v="0"/>
    <n v="11"/>
    <s v="B"/>
    <s v="History"/>
    <n v="97"/>
    <n v="86"/>
    <s v="Cuttack"/>
    <s v="A+"/>
    <s v="Pass"/>
  </r>
  <r>
    <s v="S0272"/>
    <s v="Sanjay Das"/>
    <x v="1"/>
    <n v="9"/>
    <s v="B"/>
    <s v="Computer"/>
    <n v="91"/>
    <n v="90"/>
    <s v="Balasore"/>
    <s v="A+"/>
    <s v="Pass"/>
  </r>
  <r>
    <s v="S0273"/>
    <s v="Priya Mohanty"/>
    <x v="1"/>
    <n v="11"/>
    <s v="C"/>
    <s v="English"/>
    <n v="80"/>
    <n v="77"/>
    <s v="Cuttack"/>
    <s v="A"/>
    <s v="Pass"/>
  </r>
  <r>
    <s v="S0274"/>
    <s v="Aditya Kumar"/>
    <x v="0"/>
    <n v="9"/>
    <s v="A"/>
    <s v="Computer"/>
    <n v="56"/>
    <n v="84"/>
    <s v="Angul"/>
    <s v="F"/>
    <s v="Pass"/>
  </r>
  <r>
    <s v="S0275"/>
    <s v="Aarav Patra"/>
    <x v="0"/>
    <n v="6"/>
    <s v="B"/>
    <s v="Geography"/>
    <n v="47"/>
    <n v="90"/>
    <s v="Rourkela"/>
    <s v="F"/>
    <s v="Pass"/>
  </r>
  <r>
    <s v="S0276"/>
    <s v="Kavya Kumar"/>
    <x v="0"/>
    <n v="11"/>
    <s v="B"/>
    <s v="Computer"/>
    <n v="57"/>
    <n v="85"/>
    <s v="Cuttack"/>
    <s v="F"/>
    <s v="Pass"/>
  </r>
  <r>
    <s v="S0277"/>
    <s v="Ananya Kumar"/>
    <x v="1"/>
    <n v="7"/>
    <s v="B"/>
    <s v="English"/>
    <n v="81"/>
    <n v="76"/>
    <s v="Bhubaneswar"/>
    <s v="A"/>
    <s v="Pass"/>
  </r>
  <r>
    <s v="S0278"/>
    <s v="Kiran Nayak"/>
    <x v="0"/>
    <n v="12"/>
    <s v="A"/>
    <s v="English"/>
    <n v="100"/>
    <n v="93"/>
    <s v="Cuttack"/>
    <s v="A+"/>
    <s v="Pass"/>
  </r>
  <r>
    <s v="S0279"/>
    <s v="Kiran Sahoo"/>
    <x v="1"/>
    <n v="9"/>
    <s v="B"/>
    <s v="Computer"/>
    <n v="74"/>
    <n v="83"/>
    <s v="Puri"/>
    <s v="B"/>
    <s v="Pass"/>
  </r>
  <r>
    <s v="S0280"/>
    <s v="Neha Sahoo"/>
    <x v="1"/>
    <n v="6"/>
    <s v="A"/>
    <s v="Math"/>
    <n v="64"/>
    <n v="60"/>
    <s v="Sambalpur"/>
    <s v="C"/>
    <s v="Pass"/>
  </r>
  <r>
    <s v="S0281"/>
    <s v="Rahul Das"/>
    <x v="1"/>
    <n v="6"/>
    <s v="A"/>
    <s v="English"/>
    <n v="39"/>
    <n v="66"/>
    <s v="Angul"/>
    <s v="F"/>
    <s v="Pass"/>
  </r>
  <r>
    <s v="S0282"/>
    <s v="Neha Kumar"/>
    <x v="1"/>
    <n v="7"/>
    <s v="B"/>
    <s v="Math"/>
    <n v="41"/>
    <n v="61"/>
    <s v="Cuttack"/>
    <s v="F"/>
    <s v="Pass"/>
  </r>
  <r>
    <s v="S0283"/>
    <s v="Aditya Das"/>
    <x v="0"/>
    <n v="12"/>
    <s v="A"/>
    <s v="Computer"/>
    <n v="91"/>
    <n v="60"/>
    <s v="Balasore"/>
    <s v="A+"/>
    <s v="Pass"/>
  </r>
  <r>
    <s v="S0284"/>
    <s v="Sanjay Mohanty"/>
    <x v="1"/>
    <n v="6"/>
    <s v="C"/>
    <s v="English"/>
    <n v="56"/>
    <n v="87"/>
    <s v="Angul"/>
    <s v="F"/>
    <s v="Pass"/>
  </r>
  <r>
    <s v="S0285"/>
    <s v="Aditya Sahoo"/>
    <x v="0"/>
    <n v="10"/>
    <s v="C"/>
    <s v="History"/>
    <n v="41"/>
    <n v="69"/>
    <s v="Bhubaneswar"/>
    <s v="F"/>
    <s v="Pass"/>
  </r>
  <r>
    <s v="S0286"/>
    <s v="Kavya Patra"/>
    <x v="1"/>
    <n v="8"/>
    <s v="B"/>
    <s v="Geography"/>
    <n v="74"/>
    <n v="71"/>
    <s v="Angul"/>
    <s v="B"/>
    <s v="Pass"/>
  </r>
  <r>
    <s v="S0287"/>
    <s v="Riya Patra"/>
    <x v="0"/>
    <n v="10"/>
    <s v="B"/>
    <s v="History"/>
    <n v="97"/>
    <n v="96"/>
    <s v="Puri"/>
    <s v="A+"/>
    <s v="Pass"/>
  </r>
  <r>
    <s v="S0288"/>
    <s v="Sneha Das"/>
    <x v="1"/>
    <n v="8"/>
    <s v="C"/>
    <s v="History"/>
    <n v="69"/>
    <n v="76"/>
    <s v="Sambalpur"/>
    <s v="C"/>
    <s v="Pass"/>
  </r>
  <r>
    <s v="S0289"/>
    <s v="Priya Patra"/>
    <x v="0"/>
    <n v="10"/>
    <s v="C"/>
    <s v="Science"/>
    <n v="88"/>
    <n v="72"/>
    <s v="Bhubaneswar"/>
    <s v="A"/>
    <s v="Pass"/>
  </r>
  <r>
    <s v="S0290"/>
    <s v="Amit Mohanty"/>
    <x v="0"/>
    <n v="11"/>
    <s v="C"/>
    <s v="Science"/>
    <n v="85"/>
    <n v="91"/>
    <s v="Bhubaneswar"/>
    <s v="A"/>
    <s v="Pass"/>
  </r>
  <r>
    <s v="S0291"/>
    <s v="Rahul Mohanty"/>
    <x v="1"/>
    <n v="7"/>
    <s v="C"/>
    <s v="English"/>
    <n v="48"/>
    <n v="72"/>
    <s v="Balasore"/>
    <s v="F"/>
    <s v="Pass"/>
  </r>
  <r>
    <s v="S0292"/>
    <s v="Kavya Mohanty"/>
    <x v="0"/>
    <n v="10"/>
    <s v="C"/>
    <s v="Computer"/>
    <n v="72"/>
    <n v="77"/>
    <s v="Bhubaneswar"/>
    <s v="B"/>
    <s v="Pass"/>
  </r>
  <r>
    <s v="S0293"/>
    <s v="Pooja Sahoo"/>
    <x v="1"/>
    <n v="11"/>
    <s v="C"/>
    <s v="Math"/>
    <n v="58"/>
    <n v="91"/>
    <s v="Balasore"/>
    <s v="F"/>
    <s v="Pass"/>
  </r>
  <r>
    <s v="S0294"/>
    <s v="Aarav Nayak"/>
    <x v="0"/>
    <n v="7"/>
    <s v="B"/>
    <s v="English"/>
    <n v="78"/>
    <n v="94"/>
    <s v="Balasore"/>
    <s v="B"/>
    <s v="Pass"/>
  </r>
  <r>
    <s v="S0295"/>
    <s v="Vivaan Nayak"/>
    <x v="1"/>
    <n v="8"/>
    <s v="A"/>
    <s v="History"/>
    <n v="40"/>
    <n v="68"/>
    <s v="Cuttack"/>
    <s v="F"/>
    <s v="Pass"/>
  </r>
  <r>
    <s v="S0296"/>
    <s v="Vivaan Kumar"/>
    <x v="1"/>
    <n v="10"/>
    <s v="A"/>
    <s v="Math"/>
    <n v="66"/>
    <n v="90"/>
    <s v="Cuttack"/>
    <s v="C"/>
    <s v="Pass"/>
  </r>
  <r>
    <s v="S0297"/>
    <s v="Sneha Mohanty"/>
    <x v="1"/>
    <n v="7"/>
    <s v="C"/>
    <s v="Science"/>
    <n v="45"/>
    <n v="72"/>
    <s v="Angul"/>
    <s v="F"/>
    <s v="Pass"/>
  </r>
  <r>
    <s v="S0298"/>
    <s v="Amit Patra"/>
    <x v="0"/>
    <n v="11"/>
    <s v="C"/>
    <s v="Math"/>
    <n v="47"/>
    <n v="97"/>
    <s v="Balasore"/>
    <s v="F"/>
    <s v="Pass"/>
  </r>
  <r>
    <s v="S0299"/>
    <s v="Sohan Kumar"/>
    <x v="0"/>
    <n v="10"/>
    <s v="A"/>
    <s v="English"/>
    <n v="53"/>
    <n v="78"/>
    <s v="Balasore"/>
    <s v="F"/>
    <s v="Pass"/>
  </r>
  <r>
    <s v="S0300"/>
    <s v="Aditya Patra"/>
    <x v="0"/>
    <n v="7"/>
    <s v="B"/>
    <s v="Science"/>
    <n v="75"/>
    <n v="79"/>
    <s v="Cuttack"/>
    <s v="B"/>
    <s v="Pass"/>
  </r>
  <r>
    <s v="S0301"/>
    <s v="Riya Das"/>
    <x v="0"/>
    <n v="11"/>
    <s v="B"/>
    <s v="Geography"/>
    <n v="98"/>
    <n v="75"/>
    <s v="Angul"/>
    <s v="A+"/>
    <s v="Pass"/>
  </r>
  <r>
    <s v="S0302"/>
    <s v="Kavya Sahoo"/>
    <x v="1"/>
    <n v="11"/>
    <s v="A"/>
    <s v="Computer"/>
    <n v="50"/>
    <n v="86"/>
    <s v="Balasore"/>
    <s v="F"/>
    <s v="Pass"/>
  </r>
  <r>
    <s v="S0303"/>
    <s v="Kavya Patra"/>
    <x v="0"/>
    <n v="8"/>
    <s v="C"/>
    <s v="Math"/>
    <n v="100"/>
    <n v="81"/>
    <s v="Bhubaneswar"/>
    <s v="A+"/>
    <s v="Pass"/>
  </r>
  <r>
    <s v="S0304"/>
    <s v="Pooja Patra"/>
    <x v="0"/>
    <n v="10"/>
    <s v="A"/>
    <s v="Computer"/>
    <n v="64"/>
    <n v="62"/>
    <s v="Cuttack"/>
    <s v="C"/>
    <s v="Pass"/>
  </r>
  <r>
    <s v="S0305"/>
    <s v="Aditya Mohanty"/>
    <x v="1"/>
    <n v="10"/>
    <s v="A"/>
    <s v="Computer"/>
    <n v="72"/>
    <n v="83"/>
    <s v="Bhubaneswar"/>
    <s v="B"/>
    <s v="Pass"/>
  </r>
  <r>
    <s v="S0306"/>
    <s v="Rohit Patra"/>
    <x v="1"/>
    <n v="8"/>
    <s v="A"/>
    <s v="Computer"/>
    <n v="75"/>
    <n v="69"/>
    <s v="Cuttack"/>
    <s v="B"/>
    <s v="Pass"/>
  </r>
  <r>
    <s v="S0307"/>
    <s v="Amit Das"/>
    <x v="1"/>
    <n v="8"/>
    <s v="C"/>
    <s v="History"/>
    <n v="83"/>
    <n v="79"/>
    <s v="Rourkela"/>
    <s v="A"/>
    <s v="Pass"/>
  </r>
  <r>
    <s v="S0308"/>
    <s v="Riya Patra"/>
    <x v="0"/>
    <n v="7"/>
    <s v="B"/>
    <s v="Geography"/>
    <n v="84"/>
    <n v="81"/>
    <s v="Sambalpur"/>
    <s v="A"/>
    <s v="Pass"/>
  </r>
  <r>
    <s v="S0309"/>
    <s v="Kiran Sahoo"/>
    <x v="1"/>
    <n v="6"/>
    <s v="C"/>
    <s v="History"/>
    <n v="84"/>
    <n v="68"/>
    <s v="Rourkela"/>
    <s v="A"/>
    <s v="Pass"/>
  </r>
  <r>
    <s v="S0310"/>
    <s v="Rohit Mohanty"/>
    <x v="0"/>
    <n v="9"/>
    <s v="B"/>
    <s v="Geography"/>
    <n v="41"/>
    <n v="87"/>
    <s v="Puri"/>
    <s v="F"/>
    <s v="Pass"/>
  </r>
  <r>
    <s v="S0311"/>
    <s v="Aditya Nayak"/>
    <x v="0"/>
    <n v="11"/>
    <s v="C"/>
    <s v="Geography"/>
    <n v="97"/>
    <n v="68"/>
    <s v="Sambalpur"/>
    <s v="A+"/>
    <s v="Pass"/>
  </r>
  <r>
    <s v="S0312"/>
    <s v="Vivaan Kumar"/>
    <x v="1"/>
    <n v="6"/>
    <s v="C"/>
    <s v="Science"/>
    <n v="36"/>
    <n v="70"/>
    <s v="Rourkela"/>
    <s v="F"/>
    <s v="Pass"/>
  </r>
  <r>
    <s v="S0313"/>
    <s v="Aarav Sahoo"/>
    <x v="0"/>
    <n v="9"/>
    <s v="C"/>
    <s v="Science"/>
    <n v="69"/>
    <n v="95"/>
    <s v="Balasore"/>
    <s v="C"/>
    <s v="Pass"/>
  </r>
  <r>
    <s v="S0314"/>
    <s v="Sanjay Patra"/>
    <x v="0"/>
    <n v="6"/>
    <s v="A"/>
    <s v="English"/>
    <n v="72"/>
    <n v="81"/>
    <s v="Angul"/>
    <s v="B"/>
    <s v="Pass"/>
  </r>
  <r>
    <s v="S0315"/>
    <s v="Pooja Mohanty"/>
    <x v="0"/>
    <n v="11"/>
    <s v="B"/>
    <s v="Science"/>
    <n v="59"/>
    <n v="98"/>
    <s v="Sambalpur"/>
    <s v="F"/>
    <s v="Pass"/>
  </r>
  <r>
    <s v="S0316"/>
    <s v="Kiran Nayak"/>
    <x v="1"/>
    <n v="9"/>
    <s v="A"/>
    <s v="Science"/>
    <n v="79"/>
    <n v="84"/>
    <s v="Sambalpur"/>
    <s v="B"/>
    <s v="Pass"/>
  </r>
  <r>
    <s v="S0317"/>
    <s v="Pooja Mohanty"/>
    <x v="0"/>
    <n v="9"/>
    <s v="C"/>
    <s v="Geography"/>
    <n v="83"/>
    <n v="91"/>
    <s v="Rourkela"/>
    <s v="A"/>
    <s v="Pass"/>
  </r>
  <r>
    <s v="S0318"/>
    <s v="Sanjay Mohanty"/>
    <x v="1"/>
    <n v="7"/>
    <s v="B"/>
    <s v="Computer"/>
    <n v="66"/>
    <n v="78"/>
    <s v="Balasore"/>
    <s v="C"/>
    <s v="Pass"/>
  </r>
  <r>
    <s v="S0319"/>
    <s v="Neha Das"/>
    <x v="1"/>
    <n v="7"/>
    <s v="A"/>
    <s v="History"/>
    <n v="87"/>
    <n v="72"/>
    <s v="Balasore"/>
    <s v="A"/>
    <s v="Pass"/>
  </r>
  <r>
    <s v="S0320"/>
    <s v="Kavya Nayak"/>
    <x v="0"/>
    <n v="9"/>
    <s v="C"/>
    <s v="Math"/>
    <n v="90"/>
    <n v="75"/>
    <s v="Angul"/>
    <s v="A+"/>
    <s v="Pass"/>
  </r>
  <r>
    <s v="S0321"/>
    <s v="Sanjay Patra"/>
    <x v="0"/>
    <n v="7"/>
    <s v="C"/>
    <s v="Geography"/>
    <n v="58"/>
    <n v="77"/>
    <s v="Angul"/>
    <s v="F"/>
    <s v="Pass"/>
  </r>
  <r>
    <s v="S0322"/>
    <s v="Amit Mohanty"/>
    <x v="1"/>
    <n v="6"/>
    <s v="C"/>
    <s v="English"/>
    <n v="98"/>
    <n v="87"/>
    <s v="Balasore"/>
    <s v="A+"/>
    <s v="Pass"/>
  </r>
  <r>
    <s v="S0323"/>
    <s v="Priya Sahoo"/>
    <x v="1"/>
    <n v="8"/>
    <s v="B"/>
    <s v="English"/>
    <n v="42"/>
    <n v="70"/>
    <s v="Puri"/>
    <s v="F"/>
    <s v="Pass"/>
  </r>
  <r>
    <s v="S0324"/>
    <s v="Kiran Das"/>
    <x v="0"/>
    <n v="10"/>
    <s v="A"/>
    <s v="Geography"/>
    <n v="95"/>
    <n v="88"/>
    <s v="Puri"/>
    <s v="A+"/>
    <s v="Pass"/>
  </r>
  <r>
    <s v="S0325"/>
    <s v="Sohan Kumar"/>
    <x v="0"/>
    <n v="8"/>
    <s v="A"/>
    <s v="Computer"/>
    <n v="70"/>
    <n v="75"/>
    <s v="Puri"/>
    <s v="B"/>
    <s v="Pass"/>
  </r>
  <r>
    <s v="S0326"/>
    <s v="Kavya Patra"/>
    <x v="1"/>
    <n v="9"/>
    <s v="C"/>
    <s v="Geography"/>
    <n v="85"/>
    <n v="89"/>
    <s v="Rourkela"/>
    <s v="A"/>
    <s v="Pass"/>
  </r>
  <r>
    <s v="S0327"/>
    <s v="Aditya Mohanty"/>
    <x v="0"/>
    <n v="12"/>
    <s v="C"/>
    <s v="Computer"/>
    <n v="41"/>
    <n v="100"/>
    <s v="Angul"/>
    <s v="F"/>
    <s v="Pass"/>
  </r>
  <r>
    <s v="S0328"/>
    <s v="Priya Kumar"/>
    <x v="1"/>
    <n v="10"/>
    <s v="A"/>
    <s v="Science"/>
    <n v="67"/>
    <n v="80"/>
    <s v="Sambalpur"/>
    <s v="C"/>
    <s v="Pass"/>
  </r>
  <r>
    <s v="S0329"/>
    <s v="Pooja Nayak"/>
    <x v="1"/>
    <n v="9"/>
    <s v="A"/>
    <s v="Geography"/>
    <n v="59"/>
    <n v="91"/>
    <s v="Cuttack"/>
    <s v="F"/>
    <s v="Pass"/>
  </r>
  <r>
    <s v="S0330"/>
    <s v="Neha Patra"/>
    <x v="0"/>
    <n v="6"/>
    <s v="A"/>
    <s v="Computer"/>
    <n v="70"/>
    <n v="91"/>
    <s v="Sambalpur"/>
    <s v="B"/>
    <s v="Pass"/>
  </r>
  <r>
    <s v="S0331"/>
    <s v="Priya Das"/>
    <x v="1"/>
    <n v="12"/>
    <s v="C"/>
    <s v="Science"/>
    <n v="87"/>
    <n v="92"/>
    <s v="Puri"/>
    <s v="A"/>
    <s v="Pass"/>
  </r>
  <r>
    <s v="S0332"/>
    <s v="Sohan Nayak"/>
    <x v="0"/>
    <n v="8"/>
    <s v="B"/>
    <s v="Math"/>
    <n v="56"/>
    <n v="87"/>
    <s v="Angul"/>
    <s v="F"/>
    <s v="Pass"/>
  </r>
  <r>
    <s v="S0333"/>
    <s v="Sanjay Patra"/>
    <x v="1"/>
    <n v="10"/>
    <s v="A"/>
    <s v="History"/>
    <n v="85"/>
    <n v="60"/>
    <s v="Puri"/>
    <s v="A"/>
    <s v="Pass"/>
  </r>
  <r>
    <s v="S0334"/>
    <s v="Rohit Das"/>
    <x v="0"/>
    <n v="8"/>
    <s v="A"/>
    <s v="Computer"/>
    <n v="83"/>
    <n v="73"/>
    <s v="Bhubaneswar"/>
    <s v="A"/>
    <s v="Pass"/>
  </r>
  <r>
    <s v="S0335"/>
    <s v="Sanjay Kumar"/>
    <x v="1"/>
    <n v="9"/>
    <s v="A"/>
    <s v="Computer"/>
    <n v="38"/>
    <n v="69"/>
    <s v="Bhubaneswar"/>
    <s v="F"/>
    <s v="Pass"/>
  </r>
  <r>
    <s v="S0336"/>
    <s v="Sanjay Patra"/>
    <x v="1"/>
    <n v="6"/>
    <s v="B"/>
    <s v="Geography"/>
    <n v="64"/>
    <n v="89"/>
    <s v="Puri"/>
    <s v="C"/>
    <s v="Pass"/>
  </r>
  <r>
    <s v="S0337"/>
    <s v="Riya Kumar"/>
    <x v="0"/>
    <n v="7"/>
    <s v="C"/>
    <s v="Geography"/>
    <n v="95"/>
    <n v="94"/>
    <s v="Bhubaneswar"/>
    <s v="A+"/>
    <s v="Pass"/>
  </r>
  <r>
    <s v="S0338"/>
    <s v="Pooja Das"/>
    <x v="0"/>
    <n v="10"/>
    <s v="A"/>
    <s v="Geography"/>
    <n v="42"/>
    <n v="78"/>
    <s v="Balasore"/>
    <s v="F"/>
    <s v="Pass"/>
  </r>
  <r>
    <s v="S0339"/>
    <s v="Priya Nayak"/>
    <x v="1"/>
    <n v="12"/>
    <s v="A"/>
    <s v="English"/>
    <n v="79"/>
    <n v="74"/>
    <s v="Balasore"/>
    <s v="B"/>
    <s v="Pass"/>
  </r>
  <r>
    <s v="S0340"/>
    <s v="Amit Kumar"/>
    <x v="1"/>
    <n v="12"/>
    <s v="B"/>
    <s v="English"/>
    <n v="78"/>
    <n v="93"/>
    <s v="Angul"/>
    <s v="B"/>
    <s v="Pass"/>
  </r>
  <r>
    <s v="S0341"/>
    <s v="Rohit Das"/>
    <x v="0"/>
    <n v="6"/>
    <s v="C"/>
    <s v="English"/>
    <n v="88"/>
    <n v="76"/>
    <s v="Bhubaneswar"/>
    <s v="A"/>
    <s v="Pass"/>
  </r>
  <r>
    <s v="S0342"/>
    <s v="Vivaan Patra"/>
    <x v="1"/>
    <n v="8"/>
    <s v="A"/>
    <s v="Geography"/>
    <n v="43"/>
    <n v="98"/>
    <s v="Sambalpur"/>
    <s v="F"/>
    <s v="Pass"/>
  </r>
  <r>
    <s v="S0343"/>
    <s v="Aarav Sahoo"/>
    <x v="0"/>
    <n v="10"/>
    <s v="A"/>
    <s v="Science"/>
    <n v="50"/>
    <n v="78"/>
    <s v="Rourkela"/>
    <s v="F"/>
    <s v="Pass"/>
  </r>
  <r>
    <s v="S0344"/>
    <s v="Aarav Sahoo"/>
    <x v="1"/>
    <n v="12"/>
    <s v="B"/>
    <s v="English"/>
    <n v="52"/>
    <n v="71"/>
    <s v="Cuttack"/>
    <s v="F"/>
    <s v="Pass"/>
  </r>
  <r>
    <s v="S0345"/>
    <s v="Sohan Patra"/>
    <x v="1"/>
    <n v="9"/>
    <s v="A"/>
    <s v="English"/>
    <n v="71"/>
    <n v="85"/>
    <s v="Puri"/>
    <s v="B"/>
    <s v="Pass"/>
  </r>
  <r>
    <s v="S0346"/>
    <s v="Amit Nayak"/>
    <x v="0"/>
    <n v="12"/>
    <s v="C"/>
    <s v="History"/>
    <n v="51"/>
    <n v="62"/>
    <s v="Sambalpur"/>
    <s v="F"/>
    <s v="Pass"/>
  </r>
  <r>
    <s v="S0347"/>
    <s v="Aarav Das"/>
    <x v="1"/>
    <n v="8"/>
    <s v="C"/>
    <s v="English"/>
    <n v="39"/>
    <n v="99"/>
    <s v="Sambalpur"/>
    <s v="F"/>
    <s v="Pass"/>
  </r>
  <r>
    <s v="S0348"/>
    <s v="Kiran Mohanty"/>
    <x v="1"/>
    <n v="12"/>
    <s v="A"/>
    <s v="Geography"/>
    <n v="58"/>
    <n v="93"/>
    <s v="Rourkela"/>
    <s v="F"/>
    <s v="Pass"/>
  </r>
  <r>
    <s v="S0349"/>
    <s v="Rohit Sahoo"/>
    <x v="0"/>
    <n v="12"/>
    <s v="A"/>
    <s v="Geography"/>
    <n v="48"/>
    <n v="73"/>
    <s v="Bhubaneswar"/>
    <s v="F"/>
    <s v="Pass"/>
  </r>
  <r>
    <s v="S0350"/>
    <s v="Vivaan Patra"/>
    <x v="0"/>
    <n v="7"/>
    <s v="B"/>
    <s v="Science"/>
    <n v="71"/>
    <n v="83"/>
    <s v="Sambalpur"/>
    <s v="B"/>
    <s v="Pass"/>
  </r>
  <r>
    <s v="S0351"/>
    <s v="Rohit Sahoo"/>
    <x v="1"/>
    <n v="12"/>
    <s v="B"/>
    <s v="History"/>
    <n v="46"/>
    <n v="86"/>
    <s v="Rourkela"/>
    <s v="F"/>
    <s v="Pass"/>
  </r>
  <r>
    <s v="S0352"/>
    <s v="Riya Sahoo"/>
    <x v="0"/>
    <n v="12"/>
    <s v="C"/>
    <s v="History"/>
    <n v="69"/>
    <n v="85"/>
    <s v="Rourkela"/>
    <s v="C"/>
    <s v="Pass"/>
  </r>
  <r>
    <s v="S0353"/>
    <s v="Ananya Mohanty"/>
    <x v="0"/>
    <n v="6"/>
    <s v="B"/>
    <s v="Math"/>
    <n v="76"/>
    <n v="91"/>
    <s v="Rourkela"/>
    <s v="B"/>
    <s v="Pass"/>
  </r>
  <r>
    <s v="S0354"/>
    <s v="Neha Sahoo"/>
    <x v="1"/>
    <n v="12"/>
    <s v="B"/>
    <s v="Computer"/>
    <n v="39"/>
    <n v="82"/>
    <s v="Sambalpur"/>
    <s v="F"/>
    <s v="Pass"/>
  </r>
  <r>
    <s v="S0355"/>
    <s v="Neha Sahoo"/>
    <x v="0"/>
    <n v="7"/>
    <s v="C"/>
    <s v="History"/>
    <n v="83"/>
    <n v="72"/>
    <s v="Bhubaneswar"/>
    <s v="A"/>
    <s v="Pass"/>
  </r>
  <r>
    <s v="S0356"/>
    <s v="Pooja Das"/>
    <x v="1"/>
    <n v="6"/>
    <s v="C"/>
    <s v="Geography"/>
    <n v="98"/>
    <n v="66"/>
    <s v="Bhubaneswar"/>
    <s v="A+"/>
    <s v="Pass"/>
  </r>
  <r>
    <s v="S0357"/>
    <s v="Aarav Nayak"/>
    <x v="0"/>
    <n v="9"/>
    <s v="A"/>
    <s v="English"/>
    <n v="43"/>
    <n v="83"/>
    <s v="Balasore"/>
    <s v="F"/>
    <s v="Pass"/>
  </r>
  <r>
    <s v="S0358"/>
    <s v="Kiran Kumar"/>
    <x v="0"/>
    <n v="6"/>
    <s v="C"/>
    <s v="History"/>
    <n v="72"/>
    <n v="61"/>
    <s v="Bhubaneswar"/>
    <s v="B"/>
    <s v="Pass"/>
  </r>
  <r>
    <s v="S0359"/>
    <s v="Priya Patra"/>
    <x v="0"/>
    <n v="12"/>
    <s v="A"/>
    <s v="Math"/>
    <n v="69"/>
    <n v="87"/>
    <s v="Cuttack"/>
    <s v="C"/>
    <s v="Pass"/>
  </r>
  <r>
    <s v="S0360"/>
    <s v="Sneha Das"/>
    <x v="0"/>
    <n v="9"/>
    <s v="B"/>
    <s v="Science"/>
    <n v="93"/>
    <n v="87"/>
    <s v="Balasore"/>
    <s v="A+"/>
    <s v="Pass"/>
  </r>
  <r>
    <s v="S0361"/>
    <s v="Vivaan Das"/>
    <x v="0"/>
    <n v="8"/>
    <s v="B"/>
    <s v="History"/>
    <n v="75"/>
    <n v="68"/>
    <s v="Balasore"/>
    <s v="B"/>
    <s v="Pass"/>
  </r>
  <r>
    <s v="S0362"/>
    <s v="Kiran Sahoo"/>
    <x v="1"/>
    <n v="6"/>
    <s v="B"/>
    <s v="Computer"/>
    <n v="40"/>
    <n v="80"/>
    <s v="Rourkela"/>
    <s v="F"/>
    <s v="Pass"/>
  </r>
  <r>
    <s v="S0363"/>
    <s v="Priya Kumar"/>
    <x v="1"/>
    <n v="11"/>
    <s v="B"/>
    <s v="Science"/>
    <n v="49"/>
    <n v="83"/>
    <s v="Cuttack"/>
    <s v="F"/>
    <s v="Pass"/>
  </r>
  <r>
    <s v="S0364"/>
    <s v="Riya Das"/>
    <x v="1"/>
    <n v="6"/>
    <s v="A"/>
    <s v="Science"/>
    <n v="71"/>
    <n v="65"/>
    <s v="Rourkela"/>
    <s v="B"/>
    <s v="Pass"/>
  </r>
  <r>
    <s v="S0365"/>
    <s v="Kiran Patra"/>
    <x v="1"/>
    <n v="10"/>
    <s v="B"/>
    <s v="Math"/>
    <n v="89"/>
    <n v="77"/>
    <s v="Angul"/>
    <s v="A"/>
    <s v="Pass"/>
  </r>
  <r>
    <s v="S0366"/>
    <s v="Priya Patra"/>
    <x v="0"/>
    <n v="8"/>
    <s v="A"/>
    <s v="English"/>
    <n v="75"/>
    <n v="76"/>
    <s v="Cuttack"/>
    <s v="B"/>
    <s v="Pass"/>
  </r>
  <r>
    <s v="S0367"/>
    <s v="Sanjay Kumar"/>
    <x v="1"/>
    <n v="8"/>
    <s v="B"/>
    <s v="English"/>
    <n v="84"/>
    <n v="97"/>
    <s v="Bhubaneswar"/>
    <s v="A"/>
    <s v="Pass"/>
  </r>
  <r>
    <s v="S0368"/>
    <s v="Priya Patra"/>
    <x v="1"/>
    <n v="8"/>
    <s v="A"/>
    <s v="English"/>
    <n v="87"/>
    <n v="89"/>
    <s v="Balasore"/>
    <s v="A"/>
    <s v="Pass"/>
  </r>
  <r>
    <s v="S0369"/>
    <s v="Riya Nayak"/>
    <x v="0"/>
    <n v="11"/>
    <s v="A"/>
    <s v="Science"/>
    <n v="35"/>
    <n v="91"/>
    <s v="Rourkela"/>
    <s v="F"/>
    <s v="Pass"/>
  </r>
  <r>
    <s v="S0370"/>
    <s v="Priya Kumar"/>
    <x v="1"/>
    <n v="6"/>
    <s v="B"/>
    <s v="English"/>
    <n v="37"/>
    <n v="60"/>
    <s v="Sambalpur"/>
    <s v="F"/>
    <s v="Pass"/>
  </r>
  <r>
    <s v="S0371"/>
    <s v="Vivaan Kumar"/>
    <x v="1"/>
    <n v="7"/>
    <s v="B"/>
    <s v="Science"/>
    <n v="86"/>
    <n v="73"/>
    <s v="Angul"/>
    <s v="A"/>
    <s v="Pass"/>
  </r>
  <r>
    <s v="S0372"/>
    <s v="Sanjay Nayak"/>
    <x v="0"/>
    <n v="10"/>
    <s v="B"/>
    <s v="Science"/>
    <n v="42"/>
    <n v="83"/>
    <s v="Rourkela"/>
    <s v="F"/>
    <s v="Pass"/>
  </r>
  <r>
    <s v="S0373"/>
    <s v="Sohan Nayak"/>
    <x v="1"/>
    <n v="7"/>
    <s v="C"/>
    <s v="History"/>
    <n v="63"/>
    <n v="65"/>
    <s v="Balasore"/>
    <s v="C"/>
    <s v="Pass"/>
  </r>
  <r>
    <s v="S0374"/>
    <s v="Vivaan Sahoo"/>
    <x v="1"/>
    <n v="8"/>
    <s v="C"/>
    <s v="Computer"/>
    <n v="77"/>
    <n v="98"/>
    <s v="Angul"/>
    <s v="B"/>
    <s v="Pass"/>
  </r>
  <r>
    <s v="S0375"/>
    <s v="Aarav Mohanty"/>
    <x v="0"/>
    <n v="7"/>
    <s v="B"/>
    <s v="History"/>
    <n v="37"/>
    <n v="68"/>
    <s v="Bhubaneswar"/>
    <s v="F"/>
    <s v="Pass"/>
  </r>
  <r>
    <s v="S0376"/>
    <s v="Vivaan Mohanty"/>
    <x v="1"/>
    <n v="6"/>
    <s v="C"/>
    <s v="Math"/>
    <n v="88"/>
    <n v="72"/>
    <s v="Balasore"/>
    <s v="A"/>
    <s v="Pass"/>
  </r>
  <r>
    <s v="S0377"/>
    <s v="Rahul Das"/>
    <x v="1"/>
    <n v="9"/>
    <s v="B"/>
    <s v="History"/>
    <n v="80"/>
    <n v="95"/>
    <s v="Cuttack"/>
    <s v="A"/>
    <s v="Pass"/>
  </r>
  <r>
    <s v="S0378"/>
    <s v="Ananya Kumar"/>
    <x v="1"/>
    <n v="9"/>
    <s v="B"/>
    <s v="Science"/>
    <n v="61"/>
    <n v="67"/>
    <s v="Puri"/>
    <s v="C"/>
    <s v="Pass"/>
  </r>
  <r>
    <s v="S0379"/>
    <s v="Riya Patra"/>
    <x v="1"/>
    <n v="11"/>
    <s v="C"/>
    <s v="Science"/>
    <n v="61"/>
    <n v="83"/>
    <s v="Balasore"/>
    <s v="C"/>
    <s v="Pass"/>
  </r>
  <r>
    <s v="S0380"/>
    <s v="Pooja Sahoo"/>
    <x v="1"/>
    <n v="6"/>
    <s v="B"/>
    <s v="Science"/>
    <n v="51"/>
    <n v="99"/>
    <s v="Angul"/>
    <s v="F"/>
    <s v="Pass"/>
  </r>
  <r>
    <s v="S0381"/>
    <s v="Amit Sahoo"/>
    <x v="0"/>
    <n v="8"/>
    <s v="B"/>
    <s v="Computer"/>
    <n v="38"/>
    <n v="81"/>
    <s v="Rourkela"/>
    <s v="F"/>
    <s v="Pass"/>
  </r>
  <r>
    <s v="S0382"/>
    <s v="Sohan Sahoo"/>
    <x v="1"/>
    <n v="9"/>
    <s v="A"/>
    <s v="Math"/>
    <n v="57"/>
    <n v="95"/>
    <s v="Sambalpur"/>
    <s v="F"/>
    <s v="Pass"/>
  </r>
  <r>
    <s v="S0383"/>
    <s v="Riya Mohanty"/>
    <x v="0"/>
    <n v="10"/>
    <s v="C"/>
    <s v="Science"/>
    <n v="96"/>
    <n v="83"/>
    <s v="Rourkela"/>
    <s v="A+"/>
    <s v="Pass"/>
  </r>
  <r>
    <s v="S0384"/>
    <s v="Sneha Sahoo"/>
    <x v="1"/>
    <n v="10"/>
    <s v="A"/>
    <s v="History"/>
    <n v="46"/>
    <n v="84"/>
    <s v="Angul"/>
    <s v="F"/>
    <s v="Pass"/>
  </r>
  <r>
    <s v="S0385"/>
    <s v="Priya Nayak"/>
    <x v="1"/>
    <n v="8"/>
    <s v="C"/>
    <s v="Computer"/>
    <n v="80"/>
    <n v="75"/>
    <s v="Balasore"/>
    <s v="A"/>
    <s v="Pass"/>
  </r>
  <r>
    <s v="S0386"/>
    <s v="Aarav Das"/>
    <x v="1"/>
    <n v="10"/>
    <s v="B"/>
    <s v="Science"/>
    <n v="63"/>
    <n v="84"/>
    <s v="Sambalpur"/>
    <s v="C"/>
    <s v="Pass"/>
  </r>
  <r>
    <s v="S0387"/>
    <s v="Ananya Kumar"/>
    <x v="1"/>
    <n v="11"/>
    <s v="C"/>
    <s v="English"/>
    <n v="71"/>
    <n v="74"/>
    <s v="Bhubaneswar"/>
    <s v="B"/>
    <s v="Pass"/>
  </r>
  <r>
    <s v="S0388"/>
    <s v="Ananya Mohanty"/>
    <x v="0"/>
    <n v="6"/>
    <s v="C"/>
    <s v="Computer"/>
    <n v="55"/>
    <n v="89"/>
    <s v="Balasore"/>
    <s v="F"/>
    <s v="Pass"/>
  </r>
  <r>
    <s v="S0389"/>
    <s v="Priya Mohanty"/>
    <x v="0"/>
    <n v="10"/>
    <s v="C"/>
    <s v="Science"/>
    <n v="51"/>
    <n v="64"/>
    <s v="Bhubaneswar"/>
    <s v="F"/>
    <s v="Pass"/>
  </r>
  <r>
    <s v="S0390"/>
    <s v="Amit Mohanty"/>
    <x v="1"/>
    <n v="12"/>
    <s v="C"/>
    <s v="Geography"/>
    <n v="75"/>
    <n v="86"/>
    <s v="Balasore"/>
    <s v="B"/>
    <s v="Pass"/>
  </r>
  <r>
    <s v="S0391"/>
    <s v="Ananya Patra"/>
    <x v="1"/>
    <n v="9"/>
    <s v="B"/>
    <s v="Computer"/>
    <n v="65"/>
    <n v="81"/>
    <s v="Balasore"/>
    <s v="C"/>
    <s v="Pass"/>
  </r>
  <r>
    <s v="S0392"/>
    <s v="Rahul Das"/>
    <x v="0"/>
    <n v="12"/>
    <s v="C"/>
    <s v="Geography"/>
    <n v="85"/>
    <n v="69"/>
    <s v="Rourkela"/>
    <s v="A"/>
    <s v="Pass"/>
  </r>
  <r>
    <s v="S0393"/>
    <s v="Kiran Mohanty"/>
    <x v="0"/>
    <n v="9"/>
    <s v="A"/>
    <s v="Science"/>
    <n v="76"/>
    <n v="82"/>
    <s v="Rourkela"/>
    <s v="B"/>
    <s v="Pass"/>
  </r>
  <r>
    <s v="S0394"/>
    <s v="Rohit Kumar"/>
    <x v="0"/>
    <n v="9"/>
    <s v="A"/>
    <s v="Computer"/>
    <n v="69"/>
    <n v="92"/>
    <s v="Sambalpur"/>
    <s v="C"/>
    <s v="Pass"/>
  </r>
  <r>
    <s v="S0395"/>
    <s v="Amit Das"/>
    <x v="1"/>
    <n v="8"/>
    <s v="C"/>
    <s v="English"/>
    <n v="90"/>
    <n v="77"/>
    <s v="Rourkela"/>
    <s v="A+"/>
    <s v="Pass"/>
  </r>
  <r>
    <s v="S0396"/>
    <s v="Pooja Sahoo"/>
    <x v="0"/>
    <n v="7"/>
    <s v="C"/>
    <s v="Geography"/>
    <n v="78"/>
    <n v="99"/>
    <s v="Balasore"/>
    <s v="B"/>
    <s v="Pass"/>
  </r>
  <r>
    <s v="S0397"/>
    <s v="Sneha Mohanty"/>
    <x v="1"/>
    <n v="9"/>
    <s v="A"/>
    <s v="Geography"/>
    <n v="77"/>
    <n v="85"/>
    <s v="Puri"/>
    <s v="B"/>
    <s v="Pass"/>
  </r>
  <r>
    <s v="S0398"/>
    <s v="Sneha Nayak"/>
    <x v="0"/>
    <n v="7"/>
    <s v="A"/>
    <s v="English"/>
    <n v="61"/>
    <n v="81"/>
    <s v="Balasore"/>
    <s v="C"/>
    <s v="Pass"/>
  </r>
  <r>
    <s v="S0399"/>
    <s v="Rohit Patra"/>
    <x v="1"/>
    <n v="11"/>
    <s v="B"/>
    <s v="Math"/>
    <n v="60"/>
    <n v="77"/>
    <s v="Bhubaneswar"/>
    <s v="C"/>
    <s v="Pass"/>
  </r>
  <r>
    <s v="S0400"/>
    <s v="Kavya Kumar"/>
    <x v="1"/>
    <n v="10"/>
    <s v="C"/>
    <s v="Science"/>
    <n v="96"/>
    <n v="68"/>
    <s v="Angul"/>
    <s v="A+"/>
    <s v="Pass"/>
  </r>
  <r>
    <s v="S0401"/>
    <s v="Vivaan Nayak"/>
    <x v="1"/>
    <n v="10"/>
    <s v="B"/>
    <s v="Math"/>
    <n v="77"/>
    <n v="95"/>
    <s v="Puri"/>
    <s v="B"/>
    <s v="Pass"/>
  </r>
  <r>
    <s v="S0402"/>
    <s v="Ananya Kumar"/>
    <x v="0"/>
    <n v="8"/>
    <s v="A"/>
    <s v="English"/>
    <n v="69"/>
    <n v="75"/>
    <s v="Sambalpur"/>
    <s v="C"/>
    <s v="Pass"/>
  </r>
  <r>
    <s v="S0403"/>
    <s v="Kiran Mohanty"/>
    <x v="1"/>
    <n v="12"/>
    <s v="B"/>
    <s v="Geography"/>
    <n v="74"/>
    <n v="88"/>
    <s v="Balasore"/>
    <s v="B"/>
    <s v="Pass"/>
  </r>
  <r>
    <s v="S0404"/>
    <s v="Rahul Das"/>
    <x v="0"/>
    <n v="10"/>
    <s v="A"/>
    <s v="Computer"/>
    <n v="100"/>
    <n v="62"/>
    <s v="Angul"/>
    <s v="A+"/>
    <s v="Pass"/>
  </r>
  <r>
    <s v="S0405"/>
    <s v="Amit Sahoo"/>
    <x v="1"/>
    <n v="8"/>
    <s v="B"/>
    <s v="Math"/>
    <n v="80"/>
    <n v="82"/>
    <s v="Sambalpur"/>
    <s v="A"/>
    <s v="Pass"/>
  </r>
  <r>
    <s v="S0406"/>
    <s v="Rahul Patra"/>
    <x v="0"/>
    <n v="8"/>
    <s v="A"/>
    <s v="Computer"/>
    <n v="86"/>
    <n v="74"/>
    <s v="Sambalpur"/>
    <s v="A"/>
    <s v="Pass"/>
  </r>
  <r>
    <s v="S0407"/>
    <s v="Riya Mohanty"/>
    <x v="0"/>
    <n v="11"/>
    <s v="A"/>
    <s v="Computer"/>
    <n v="80"/>
    <n v="73"/>
    <s v="Balasore"/>
    <s v="A"/>
    <s v="Pass"/>
  </r>
  <r>
    <s v="S0408"/>
    <s v="Kavya Nayak"/>
    <x v="1"/>
    <n v="7"/>
    <s v="A"/>
    <s v="English"/>
    <n v="85"/>
    <n v="82"/>
    <s v="Angul"/>
    <s v="A"/>
    <s v="Pass"/>
  </r>
  <r>
    <s v="S0409"/>
    <s v="Aditya Das"/>
    <x v="1"/>
    <n v="7"/>
    <s v="B"/>
    <s v="Computer"/>
    <n v="43"/>
    <n v="87"/>
    <s v="Rourkela"/>
    <s v="F"/>
    <s v="Pass"/>
  </r>
  <r>
    <s v="S0410"/>
    <s v="Ananya Sahoo"/>
    <x v="1"/>
    <n v="12"/>
    <s v="B"/>
    <s v="Science"/>
    <n v="39"/>
    <n v="62"/>
    <s v="Angul"/>
    <s v="F"/>
    <s v="Pass"/>
  </r>
  <r>
    <s v="S0411"/>
    <s v="Kavya Sahoo"/>
    <x v="1"/>
    <n v="10"/>
    <s v="B"/>
    <s v="Math"/>
    <n v="64"/>
    <n v="73"/>
    <s v="Sambalpur"/>
    <s v="C"/>
    <s v="Pass"/>
  </r>
  <r>
    <s v="S0412"/>
    <s v="Sanjay Patra"/>
    <x v="1"/>
    <n v="11"/>
    <s v="B"/>
    <s v="Math"/>
    <n v="48"/>
    <n v="95"/>
    <s v="Balasore"/>
    <s v="F"/>
    <s v="Pass"/>
  </r>
  <r>
    <s v="S0413"/>
    <s v="Sanjay Sahoo"/>
    <x v="0"/>
    <n v="11"/>
    <s v="B"/>
    <s v="English"/>
    <n v="76"/>
    <n v="80"/>
    <s v="Sambalpur"/>
    <s v="B"/>
    <s v="Pass"/>
  </r>
  <r>
    <s v="S0414"/>
    <s v="Vivaan Nayak"/>
    <x v="0"/>
    <n v="12"/>
    <s v="C"/>
    <s v="English"/>
    <n v="71"/>
    <n v="67"/>
    <s v="Cuttack"/>
    <s v="B"/>
    <s v="Pass"/>
  </r>
  <r>
    <s v="S0415"/>
    <s v="Vivaan Das"/>
    <x v="0"/>
    <n v="10"/>
    <s v="A"/>
    <s v="Computer"/>
    <n v="83"/>
    <n v="79"/>
    <s v="Balasore"/>
    <s v="A"/>
    <s v="Pass"/>
  </r>
  <r>
    <s v="S0416"/>
    <s v="Sneha Das"/>
    <x v="1"/>
    <n v="8"/>
    <s v="B"/>
    <s v="Computer"/>
    <n v="55"/>
    <n v="81"/>
    <s v="Bhubaneswar"/>
    <s v="F"/>
    <s v="Pass"/>
  </r>
  <r>
    <s v="S0417"/>
    <s v="Kiran Patra"/>
    <x v="1"/>
    <n v="7"/>
    <s v="B"/>
    <s v="English"/>
    <n v="93"/>
    <n v="89"/>
    <s v="Bhubaneswar"/>
    <s v="A+"/>
    <s v="Pass"/>
  </r>
  <r>
    <s v="S0418"/>
    <s v="Aarav Das"/>
    <x v="1"/>
    <n v="6"/>
    <s v="A"/>
    <s v="Science"/>
    <n v="81"/>
    <n v="76"/>
    <s v="Sambalpur"/>
    <s v="A"/>
    <s v="Pass"/>
  </r>
  <r>
    <s v="S0419"/>
    <s v="Sohan Das"/>
    <x v="0"/>
    <n v="11"/>
    <s v="A"/>
    <s v="English"/>
    <n v="86"/>
    <n v="96"/>
    <s v="Cuttack"/>
    <s v="A"/>
    <s v="Pass"/>
  </r>
  <r>
    <s v="S0420"/>
    <s v="Aarav Nayak"/>
    <x v="0"/>
    <n v="8"/>
    <s v="A"/>
    <s v="Science"/>
    <n v="77"/>
    <n v="82"/>
    <s v="Balasore"/>
    <s v="B"/>
    <s v="Pass"/>
  </r>
  <r>
    <s v="S0421"/>
    <s v="Rohit Patra"/>
    <x v="0"/>
    <n v="6"/>
    <s v="A"/>
    <s v="Computer"/>
    <n v="98"/>
    <n v="62"/>
    <s v="Cuttack"/>
    <s v="A+"/>
    <s v="Pass"/>
  </r>
  <r>
    <s v="S0422"/>
    <s v="Aditya Patra"/>
    <x v="1"/>
    <n v="9"/>
    <s v="B"/>
    <s v="History"/>
    <n v="70"/>
    <n v="88"/>
    <s v="Bhubaneswar"/>
    <s v="B"/>
    <s v="Pass"/>
  </r>
  <r>
    <s v="S0423"/>
    <s v="Pooja Mohanty"/>
    <x v="1"/>
    <n v="7"/>
    <s v="A"/>
    <s v="Computer"/>
    <n v="77"/>
    <n v="89"/>
    <s v="Balasore"/>
    <s v="B"/>
    <s v="Pass"/>
  </r>
  <r>
    <s v="S0424"/>
    <s v="Rohit Sahoo"/>
    <x v="1"/>
    <n v="11"/>
    <s v="C"/>
    <s v="History"/>
    <n v="92"/>
    <n v="62"/>
    <s v="Sambalpur"/>
    <s v="A+"/>
    <s v="Pass"/>
  </r>
  <r>
    <s v="S0425"/>
    <s v="Riya Patra"/>
    <x v="1"/>
    <n v="6"/>
    <s v="A"/>
    <s v="English"/>
    <n v="91"/>
    <n v="67"/>
    <s v="Rourkela"/>
    <s v="A+"/>
    <s v="Pass"/>
  </r>
  <r>
    <s v="S0426"/>
    <s v="Amit Patra"/>
    <x v="1"/>
    <n v="9"/>
    <s v="B"/>
    <s v="Computer"/>
    <n v="62"/>
    <n v="89"/>
    <s v="Cuttack"/>
    <s v="C"/>
    <s v="Pass"/>
  </r>
  <r>
    <s v="S0427"/>
    <s v="Sohan Mohanty"/>
    <x v="0"/>
    <n v="7"/>
    <s v="C"/>
    <s v="Geography"/>
    <n v="77"/>
    <n v="83"/>
    <s v="Cuttack"/>
    <s v="B"/>
    <s v="Pass"/>
  </r>
  <r>
    <s v="S0428"/>
    <s v="Rahul Mohanty"/>
    <x v="0"/>
    <n v="10"/>
    <s v="B"/>
    <s v="Geography"/>
    <n v="35"/>
    <n v="95"/>
    <s v="Bhubaneswar"/>
    <s v="F"/>
    <s v="Pass"/>
  </r>
  <r>
    <s v="S0429"/>
    <s v="Priya Patra"/>
    <x v="1"/>
    <n v="6"/>
    <s v="B"/>
    <s v="Science"/>
    <n v="82"/>
    <n v="71"/>
    <s v="Balasore"/>
    <s v="A"/>
    <s v="Pass"/>
  </r>
  <r>
    <s v="S0430"/>
    <s v="Kavya Mohanty"/>
    <x v="1"/>
    <n v="6"/>
    <s v="A"/>
    <s v="Math"/>
    <n v="88"/>
    <n v="96"/>
    <s v="Angul"/>
    <s v="A"/>
    <s v="Pass"/>
  </r>
  <r>
    <s v="S0431"/>
    <s v="Sohan Das"/>
    <x v="0"/>
    <n v="8"/>
    <s v="C"/>
    <s v="Geography"/>
    <n v="88"/>
    <n v="88"/>
    <s v="Cuttack"/>
    <s v="A"/>
    <s v="Pass"/>
  </r>
  <r>
    <s v="S0432"/>
    <s v="Aarav Das"/>
    <x v="1"/>
    <n v="9"/>
    <s v="B"/>
    <s v="Computer"/>
    <n v="39"/>
    <n v="65"/>
    <s v="Sambalpur"/>
    <s v="F"/>
    <s v="Pass"/>
  </r>
  <r>
    <s v="S0433"/>
    <s v="Sohan Sahoo"/>
    <x v="0"/>
    <n v="7"/>
    <s v="B"/>
    <s v="Geography"/>
    <n v="36"/>
    <n v="89"/>
    <s v="Bhubaneswar"/>
    <s v="F"/>
    <s v="Pass"/>
  </r>
  <r>
    <s v="S0434"/>
    <s v="Pooja Sahoo"/>
    <x v="0"/>
    <n v="11"/>
    <s v="C"/>
    <s v="Science"/>
    <n v="39"/>
    <n v="93"/>
    <s v="Cuttack"/>
    <s v="F"/>
    <s v="Pass"/>
  </r>
  <r>
    <s v="S0435"/>
    <s v="Aarav Das"/>
    <x v="0"/>
    <n v="9"/>
    <s v="B"/>
    <s v="Computer"/>
    <n v="80"/>
    <n v="86"/>
    <s v="Angul"/>
    <s v="A"/>
    <s v="Pass"/>
  </r>
  <r>
    <s v="S0436"/>
    <s v="Aditya Patra"/>
    <x v="1"/>
    <n v="9"/>
    <s v="C"/>
    <s v="Math"/>
    <n v="82"/>
    <n v="91"/>
    <s v="Puri"/>
    <s v="A"/>
    <s v="Pass"/>
  </r>
  <r>
    <s v="S0437"/>
    <s v="Sneha Kumar"/>
    <x v="1"/>
    <n v="9"/>
    <s v="B"/>
    <s v="Computer"/>
    <n v="41"/>
    <n v="100"/>
    <s v="Bhubaneswar"/>
    <s v="F"/>
    <s v="Pass"/>
  </r>
  <r>
    <s v="S0438"/>
    <s v="Ananya Sahoo"/>
    <x v="0"/>
    <n v="9"/>
    <s v="A"/>
    <s v="Math"/>
    <n v="93"/>
    <n v="92"/>
    <s v="Puri"/>
    <s v="A+"/>
    <s v="Pass"/>
  </r>
  <r>
    <s v="S0439"/>
    <s v="Neha Nayak"/>
    <x v="0"/>
    <n v="12"/>
    <s v="A"/>
    <s v="Computer"/>
    <n v="36"/>
    <n v="60"/>
    <s v="Puri"/>
    <s v="F"/>
    <s v="Pass"/>
  </r>
  <r>
    <s v="S0440"/>
    <s v="Sanjay Das"/>
    <x v="1"/>
    <n v="6"/>
    <s v="C"/>
    <s v="English"/>
    <n v="55"/>
    <n v="77"/>
    <s v="Bhubaneswar"/>
    <s v="F"/>
    <s v="Pass"/>
  </r>
  <r>
    <s v="S0441"/>
    <s v="Sneha Kumar"/>
    <x v="1"/>
    <n v="12"/>
    <s v="A"/>
    <s v="Geography"/>
    <n v="86"/>
    <n v="94"/>
    <s v="Bhubaneswar"/>
    <s v="A"/>
    <s v="Pass"/>
  </r>
  <r>
    <s v="S0442"/>
    <s v="Sohan Das"/>
    <x v="1"/>
    <n v="6"/>
    <s v="B"/>
    <s v="Math"/>
    <n v="88"/>
    <n v="78"/>
    <s v="Sambalpur"/>
    <s v="A"/>
    <s v="Pass"/>
  </r>
  <r>
    <s v="S0443"/>
    <s v="Rohit Kumar"/>
    <x v="0"/>
    <n v="6"/>
    <s v="C"/>
    <s v="History"/>
    <n v="41"/>
    <n v="98"/>
    <s v="Rourkela"/>
    <s v="F"/>
    <s v="Pass"/>
  </r>
  <r>
    <s v="S0444"/>
    <s v="Kavya Sahoo"/>
    <x v="1"/>
    <n v="11"/>
    <s v="A"/>
    <s v="Science"/>
    <n v="61"/>
    <n v="90"/>
    <s v="Angul"/>
    <s v="C"/>
    <s v="Pass"/>
  </r>
  <r>
    <s v="S0445"/>
    <s v="Pooja Kumar"/>
    <x v="1"/>
    <n v="10"/>
    <s v="A"/>
    <s v="Computer"/>
    <n v="69"/>
    <n v="82"/>
    <s v="Sambalpur"/>
    <s v="C"/>
    <s v="Pass"/>
  </r>
  <r>
    <s v="S0446"/>
    <s v="Amit Mohanty"/>
    <x v="1"/>
    <n v="10"/>
    <s v="C"/>
    <s v="English"/>
    <n v="80"/>
    <n v="90"/>
    <s v="Rourkela"/>
    <s v="A"/>
    <s v="Pass"/>
  </r>
  <r>
    <s v="S0447"/>
    <s v="Sneha Kumar"/>
    <x v="1"/>
    <n v="9"/>
    <s v="A"/>
    <s v="English"/>
    <n v="89"/>
    <n v="60"/>
    <s v="Bhubaneswar"/>
    <s v="A"/>
    <s v="Pass"/>
  </r>
  <r>
    <s v="S0448"/>
    <s v="Aarav Nayak"/>
    <x v="1"/>
    <n v="10"/>
    <s v="B"/>
    <s v="Geography"/>
    <n v="39"/>
    <n v="91"/>
    <s v="Bhubaneswar"/>
    <s v="F"/>
    <s v="Pass"/>
  </r>
  <r>
    <s v="S0449"/>
    <s v="Aditya Sahoo"/>
    <x v="1"/>
    <n v="10"/>
    <s v="B"/>
    <s v="English"/>
    <n v="50"/>
    <n v="99"/>
    <s v="Angul"/>
    <s v="F"/>
    <s v="Pass"/>
  </r>
  <r>
    <s v="S0450"/>
    <s v="Neha Kumar"/>
    <x v="0"/>
    <n v="8"/>
    <s v="B"/>
    <s v="History"/>
    <n v="76"/>
    <n v="80"/>
    <s v="Rourkela"/>
    <s v="B"/>
    <s v="Pass"/>
  </r>
  <r>
    <s v="S0451"/>
    <s v="Amit Patra"/>
    <x v="1"/>
    <n v="6"/>
    <s v="A"/>
    <s v="Science"/>
    <n v="65"/>
    <n v="81"/>
    <s v="Cuttack"/>
    <s v="C"/>
    <s v="Pass"/>
  </r>
  <r>
    <s v="S0452"/>
    <s v="Rohit Mohanty"/>
    <x v="1"/>
    <n v="12"/>
    <s v="C"/>
    <s v="Geography"/>
    <n v="89"/>
    <n v="90"/>
    <s v="Angul"/>
    <s v="A"/>
    <s v="Pass"/>
  </r>
  <r>
    <s v="S0453"/>
    <s v="Pooja Kumar"/>
    <x v="1"/>
    <n v="8"/>
    <s v="A"/>
    <s v="Math"/>
    <n v="65"/>
    <n v="74"/>
    <s v="Puri"/>
    <s v="C"/>
    <s v="Pass"/>
  </r>
  <r>
    <s v="S0454"/>
    <s v="Priya Kumar"/>
    <x v="1"/>
    <n v="8"/>
    <s v="A"/>
    <s v="Computer"/>
    <n v="62"/>
    <n v="79"/>
    <s v="Sambalpur"/>
    <s v="C"/>
    <s v="Pass"/>
  </r>
  <r>
    <s v="S0455"/>
    <s v="Rohit Patra"/>
    <x v="0"/>
    <n v="10"/>
    <s v="A"/>
    <s v="Math"/>
    <n v="59"/>
    <n v="94"/>
    <s v="Puri"/>
    <s v="F"/>
    <s v="Pass"/>
  </r>
  <r>
    <s v="S0456"/>
    <s v="Vivaan Sahoo"/>
    <x v="0"/>
    <n v="9"/>
    <s v="A"/>
    <s v="History"/>
    <n v="65"/>
    <n v="86"/>
    <s v="Cuttack"/>
    <s v="C"/>
    <s v="Pass"/>
  </r>
  <r>
    <s v="S0457"/>
    <s v="Aditya Sahoo"/>
    <x v="1"/>
    <n v="7"/>
    <s v="B"/>
    <s v="Geography"/>
    <n v="44"/>
    <n v="92"/>
    <s v="Cuttack"/>
    <s v="F"/>
    <s v="Pass"/>
  </r>
  <r>
    <s v="S0458"/>
    <s v="Neha Mohanty"/>
    <x v="0"/>
    <n v="8"/>
    <s v="B"/>
    <s v="Computer"/>
    <n v="69"/>
    <n v="71"/>
    <s v="Bhubaneswar"/>
    <s v="C"/>
    <s v="Pass"/>
  </r>
  <r>
    <s v="S0459"/>
    <s v="Kiran Kumar"/>
    <x v="1"/>
    <n v="9"/>
    <s v="B"/>
    <s v="Geography"/>
    <n v="64"/>
    <n v="77"/>
    <s v="Angul"/>
    <s v="C"/>
    <s v="Pass"/>
  </r>
  <r>
    <s v="S0460"/>
    <s v="Riya Sahoo"/>
    <x v="0"/>
    <n v="7"/>
    <s v="C"/>
    <s v="Geography"/>
    <n v="94"/>
    <n v="74"/>
    <s v="Sambalpur"/>
    <s v="A+"/>
    <s v="Pass"/>
  </r>
  <r>
    <s v="S0461"/>
    <s v="Neha Kumar"/>
    <x v="0"/>
    <n v="10"/>
    <s v="A"/>
    <s v="Geography"/>
    <n v="69"/>
    <n v="91"/>
    <s v="Cuttack"/>
    <s v="C"/>
    <s v="Pass"/>
  </r>
  <r>
    <s v="S0462"/>
    <s v="Pooja Nayak"/>
    <x v="0"/>
    <n v="8"/>
    <s v="A"/>
    <s v="Math"/>
    <n v="54"/>
    <n v="84"/>
    <s v="Sambalpur"/>
    <s v="F"/>
    <s v="Pass"/>
  </r>
  <r>
    <s v="S0463"/>
    <s v="Neha Kumar"/>
    <x v="0"/>
    <n v="7"/>
    <s v="C"/>
    <s v="History"/>
    <n v="56"/>
    <n v="73"/>
    <s v="Puri"/>
    <s v="F"/>
    <s v="Pass"/>
  </r>
  <r>
    <s v="S0464"/>
    <s v="Rahul Kumar"/>
    <x v="1"/>
    <n v="11"/>
    <s v="C"/>
    <s v="English"/>
    <n v="86"/>
    <n v="69"/>
    <s v="Cuttack"/>
    <s v="A"/>
    <s v="Pass"/>
  </r>
  <r>
    <s v="S0465"/>
    <s v="Kiran Mohanty"/>
    <x v="1"/>
    <n v="10"/>
    <s v="A"/>
    <s v="Geography"/>
    <n v="76"/>
    <n v="90"/>
    <s v="Cuttack"/>
    <s v="B"/>
    <s v="Pass"/>
  </r>
  <r>
    <s v="S0466"/>
    <s v="Sanjay Sahoo"/>
    <x v="1"/>
    <n v="12"/>
    <s v="B"/>
    <s v="Math"/>
    <n v="63"/>
    <n v="99"/>
    <s v="Puri"/>
    <s v="C"/>
    <s v="Pass"/>
  </r>
  <r>
    <s v="S0467"/>
    <s v="Kavya Patra"/>
    <x v="1"/>
    <n v="11"/>
    <s v="A"/>
    <s v="English"/>
    <n v="56"/>
    <n v="68"/>
    <s v="Sambalpur"/>
    <s v="F"/>
    <s v="Pass"/>
  </r>
  <r>
    <s v="S0468"/>
    <s v="Vivaan Mohanty"/>
    <x v="1"/>
    <n v="8"/>
    <s v="B"/>
    <s v="Geography"/>
    <n v="55"/>
    <n v="76"/>
    <s v="Rourkela"/>
    <s v="F"/>
    <s v="Pass"/>
  </r>
  <r>
    <s v="S0469"/>
    <s v="Sanjay Mohanty"/>
    <x v="1"/>
    <n v="6"/>
    <s v="A"/>
    <s v="Math"/>
    <n v="63"/>
    <n v="67"/>
    <s v="Balasore"/>
    <s v="C"/>
    <s v="Pass"/>
  </r>
  <r>
    <s v="S0470"/>
    <s v="Neha Mohanty"/>
    <x v="1"/>
    <n v="10"/>
    <s v="B"/>
    <s v="English"/>
    <n v="50"/>
    <n v="74"/>
    <s v="Rourkela"/>
    <s v="F"/>
    <s v="Pass"/>
  </r>
  <r>
    <s v="S0471"/>
    <s v="Amit Mohanty"/>
    <x v="0"/>
    <n v="8"/>
    <s v="A"/>
    <s v="Geography"/>
    <n v="76"/>
    <n v="88"/>
    <s v="Sambalpur"/>
    <s v="B"/>
    <s v="Pass"/>
  </r>
  <r>
    <s v="S0472"/>
    <s v="Neha Mohanty"/>
    <x v="1"/>
    <n v="11"/>
    <s v="B"/>
    <s v="History"/>
    <n v="87"/>
    <n v="95"/>
    <s v="Balasore"/>
    <s v="A"/>
    <s v="Pass"/>
  </r>
  <r>
    <s v="S0473"/>
    <s v="Aditya Patra"/>
    <x v="1"/>
    <n v="8"/>
    <s v="B"/>
    <s v="Computer"/>
    <n v="97"/>
    <n v="69"/>
    <s v="Cuttack"/>
    <s v="A+"/>
    <s v="Pass"/>
  </r>
  <r>
    <s v="S0474"/>
    <s v="Neha Patra"/>
    <x v="1"/>
    <n v="6"/>
    <s v="B"/>
    <s v="Geography"/>
    <n v="68"/>
    <n v="74"/>
    <s v="Bhubaneswar"/>
    <s v="C"/>
    <s v="Pass"/>
  </r>
  <r>
    <s v="S0475"/>
    <s v="Aarav Mohanty"/>
    <x v="1"/>
    <n v="7"/>
    <s v="A"/>
    <s v="Geography"/>
    <n v="88"/>
    <n v="88"/>
    <s v="Puri"/>
    <s v="A"/>
    <s v="Pass"/>
  </r>
  <r>
    <s v="S0476"/>
    <s v="Kiran Mohanty"/>
    <x v="0"/>
    <n v="9"/>
    <s v="B"/>
    <s v="Geography"/>
    <n v="37"/>
    <n v="94"/>
    <s v="Bhubaneswar"/>
    <s v="F"/>
    <s v="Pass"/>
  </r>
  <r>
    <s v="S0477"/>
    <s v="Rohit Nayak"/>
    <x v="0"/>
    <n v="6"/>
    <s v="C"/>
    <s v="Science"/>
    <n v="62"/>
    <n v="73"/>
    <s v="Bhubaneswar"/>
    <s v="C"/>
    <s v="Pass"/>
  </r>
  <r>
    <s v="S0478"/>
    <s v="Aarav Das"/>
    <x v="1"/>
    <n v="10"/>
    <s v="C"/>
    <s v="Computer"/>
    <n v="50"/>
    <n v="73"/>
    <s v="Balasore"/>
    <s v="F"/>
    <s v="Pass"/>
  </r>
  <r>
    <s v="S0479"/>
    <s v="Kavya Mohanty"/>
    <x v="1"/>
    <n v="6"/>
    <s v="C"/>
    <s v="Geography"/>
    <n v="39"/>
    <n v="95"/>
    <s v="Balasore"/>
    <s v="F"/>
    <s v="Pass"/>
  </r>
  <r>
    <s v="S0480"/>
    <s v="Sanjay Sahoo"/>
    <x v="1"/>
    <n v="8"/>
    <s v="B"/>
    <s v="Science"/>
    <n v="83"/>
    <n v="72"/>
    <s v="Cuttack"/>
    <s v="A"/>
    <s v="Pass"/>
  </r>
  <r>
    <s v="S0481"/>
    <s v="Kiran Das"/>
    <x v="0"/>
    <n v="10"/>
    <s v="C"/>
    <s v="Geography"/>
    <n v="86"/>
    <n v="68"/>
    <s v="Angul"/>
    <s v="A"/>
    <s v="Pass"/>
  </r>
  <r>
    <s v="S0482"/>
    <s v="Aarav Nayak"/>
    <x v="1"/>
    <n v="10"/>
    <s v="A"/>
    <s v="English"/>
    <n v="90"/>
    <n v="87"/>
    <s v="Cuttack"/>
    <s v="A+"/>
    <s v="Pass"/>
  </r>
  <r>
    <s v="S0483"/>
    <s v="Kavya Patra"/>
    <x v="0"/>
    <n v="9"/>
    <s v="C"/>
    <s v="History"/>
    <n v="78"/>
    <n v="78"/>
    <s v="Angul"/>
    <s v="B"/>
    <s v="Pass"/>
  </r>
  <r>
    <s v="S0484"/>
    <s v="Kavya Kumar"/>
    <x v="1"/>
    <n v="9"/>
    <s v="C"/>
    <s v="Geography"/>
    <n v="40"/>
    <n v="61"/>
    <s v="Puri"/>
    <s v="F"/>
    <s v="Pass"/>
  </r>
  <r>
    <s v="S0485"/>
    <s v="Vivaan Kumar"/>
    <x v="1"/>
    <n v="7"/>
    <s v="A"/>
    <s v="Computer"/>
    <n v="89"/>
    <n v="95"/>
    <s v="Cuttack"/>
    <s v="A"/>
    <s v="Pass"/>
  </r>
  <r>
    <s v="S0486"/>
    <s v="Sanjay Mohanty"/>
    <x v="0"/>
    <n v="9"/>
    <s v="C"/>
    <s v="Computer"/>
    <n v="89"/>
    <n v="83"/>
    <s v="Puri"/>
    <s v="A"/>
    <s v="Pass"/>
  </r>
  <r>
    <s v="S0487"/>
    <s v="Kavya Patra"/>
    <x v="0"/>
    <n v="11"/>
    <s v="B"/>
    <s v="English"/>
    <n v="60"/>
    <n v="83"/>
    <s v="Sambalpur"/>
    <s v="C"/>
    <s v="Pass"/>
  </r>
  <r>
    <s v="S0488"/>
    <s v="Ananya Kumar"/>
    <x v="0"/>
    <n v="6"/>
    <s v="B"/>
    <s v="History"/>
    <n v="47"/>
    <n v="71"/>
    <s v="Angul"/>
    <s v="F"/>
    <s v="Pass"/>
  </r>
  <r>
    <s v="S0489"/>
    <s v="Aditya Das"/>
    <x v="0"/>
    <n v="6"/>
    <s v="C"/>
    <s v="Science"/>
    <n v="87"/>
    <n v="92"/>
    <s v="Puri"/>
    <s v="A"/>
    <s v="Pass"/>
  </r>
  <r>
    <s v="S0490"/>
    <s v="Pooja Kumar"/>
    <x v="1"/>
    <n v="6"/>
    <s v="B"/>
    <s v="Computer"/>
    <n v="95"/>
    <n v="97"/>
    <s v="Rourkela"/>
    <s v="A+"/>
    <s v="Pass"/>
  </r>
  <r>
    <s v="S0491"/>
    <s v="Amit Nayak"/>
    <x v="1"/>
    <n v="10"/>
    <s v="A"/>
    <s v="Math"/>
    <n v="69"/>
    <n v="76"/>
    <s v="Rourkela"/>
    <s v="C"/>
    <s v="Pass"/>
  </r>
  <r>
    <s v="S0492"/>
    <s v="Kavya Nayak"/>
    <x v="0"/>
    <n v="8"/>
    <s v="A"/>
    <s v="English"/>
    <n v="90"/>
    <n v="75"/>
    <s v="Balasore"/>
    <s v="A+"/>
    <s v="Pass"/>
  </r>
  <r>
    <s v="S0493"/>
    <s v="Aditya Patra"/>
    <x v="1"/>
    <n v="12"/>
    <s v="B"/>
    <s v="Math"/>
    <n v="81"/>
    <n v="69"/>
    <s v="Rourkela"/>
    <s v="A"/>
    <s v="Pass"/>
  </r>
  <r>
    <s v="S0494"/>
    <s v="Ananya Das"/>
    <x v="1"/>
    <n v="11"/>
    <s v="A"/>
    <s v="Computer"/>
    <n v="43"/>
    <n v="61"/>
    <s v="Angul"/>
    <s v="F"/>
    <s v="Pass"/>
  </r>
  <r>
    <s v="S0495"/>
    <s v="Pooja Sahoo"/>
    <x v="1"/>
    <n v="7"/>
    <s v="C"/>
    <s v="Computer"/>
    <n v="80"/>
    <n v="79"/>
    <s v="Bhubaneswar"/>
    <s v="A"/>
    <s v="Pass"/>
  </r>
  <r>
    <s v="S0496"/>
    <s v="Kavya Mohanty"/>
    <x v="0"/>
    <n v="7"/>
    <s v="C"/>
    <s v="Science"/>
    <n v="85"/>
    <n v="86"/>
    <s v="Bhubaneswar"/>
    <s v="A"/>
    <s v="Pass"/>
  </r>
  <r>
    <s v="S0497"/>
    <s v="Aarav Nayak"/>
    <x v="1"/>
    <n v="7"/>
    <s v="A"/>
    <s v="History"/>
    <n v="73"/>
    <n v="75"/>
    <s v="Balasore"/>
    <s v="B"/>
    <s v="Pass"/>
  </r>
  <r>
    <s v="S0498"/>
    <s v="Pooja Das"/>
    <x v="1"/>
    <n v="10"/>
    <s v="A"/>
    <s v="English"/>
    <n v="98"/>
    <n v="97"/>
    <s v="Puri"/>
    <s v="A+"/>
    <s v="Pass"/>
  </r>
  <r>
    <s v="S0499"/>
    <s v="Riya Das"/>
    <x v="1"/>
    <n v="12"/>
    <s v="C"/>
    <s v="Science"/>
    <n v="57"/>
    <n v="75"/>
    <s v="Sambalpur"/>
    <s v="F"/>
    <s v="Pass"/>
  </r>
  <r>
    <s v="S0500"/>
    <s v="Sanjay Mohanty"/>
    <x v="0"/>
    <n v="11"/>
    <s v="B"/>
    <s v="History"/>
    <n v="84"/>
    <n v="61"/>
    <s v="Angul"/>
    <s v="A"/>
    <s v="Pass"/>
  </r>
  <r>
    <s v="S0501"/>
    <s v="Ananya Das"/>
    <x v="0"/>
    <n v="8"/>
    <s v="C"/>
    <s v="Computer"/>
    <n v="42"/>
    <n v="95"/>
    <s v="Puri"/>
    <s v="F"/>
    <s v="Pass"/>
  </r>
  <r>
    <s v="S0502"/>
    <s v="Neha Patra"/>
    <x v="0"/>
    <n v="7"/>
    <s v="C"/>
    <s v="Science"/>
    <n v="67"/>
    <n v="73"/>
    <s v="Angul"/>
    <s v="C"/>
    <s v="Pass"/>
  </r>
  <r>
    <s v="S0503"/>
    <s v="Neha Kumar"/>
    <x v="1"/>
    <n v="8"/>
    <s v="C"/>
    <s v="Science"/>
    <n v="55"/>
    <n v="96"/>
    <s v="Bhubaneswar"/>
    <s v="F"/>
    <s v="Pass"/>
  </r>
  <r>
    <s v="S0504"/>
    <s v="Pooja Mohanty"/>
    <x v="0"/>
    <n v="9"/>
    <s v="A"/>
    <s v="Science"/>
    <n v="90"/>
    <n v="88"/>
    <s v="Rourkela"/>
    <s v="A+"/>
    <s v="Pass"/>
  </r>
  <r>
    <s v="S0505"/>
    <s v="Riya Patra"/>
    <x v="1"/>
    <n v="12"/>
    <s v="B"/>
    <s v="Computer"/>
    <n v="79"/>
    <n v="74"/>
    <s v="Bhubaneswar"/>
    <s v="B"/>
    <s v="Pass"/>
  </r>
  <r>
    <s v="S0506"/>
    <s v="Sneha Sahoo"/>
    <x v="1"/>
    <n v="6"/>
    <s v="B"/>
    <s v="Math"/>
    <n v="97"/>
    <n v="90"/>
    <s v="Bhubaneswar"/>
    <s v="A+"/>
    <s v="Pass"/>
  </r>
  <r>
    <s v="S0507"/>
    <s v="Aditya Mohanty"/>
    <x v="0"/>
    <n v="11"/>
    <s v="A"/>
    <s v="Computer"/>
    <n v="81"/>
    <n v="68"/>
    <s v="Sambalpur"/>
    <s v="A"/>
    <s v="Pass"/>
  </r>
  <r>
    <s v="S0508"/>
    <s v="Aarav Mohanty"/>
    <x v="0"/>
    <n v="9"/>
    <s v="C"/>
    <s v="Science"/>
    <n v="49"/>
    <n v="93"/>
    <s v="Bhubaneswar"/>
    <s v="F"/>
    <s v="Pass"/>
  </r>
  <r>
    <s v="S0509"/>
    <s v="Vivaan Nayak"/>
    <x v="0"/>
    <n v="12"/>
    <s v="C"/>
    <s v="Geography"/>
    <n v="67"/>
    <n v="77"/>
    <s v="Puri"/>
    <s v="C"/>
    <s v="Pass"/>
  </r>
  <r>
    <s v="S0510"/>
    <s v="Ananya Kumar"/>
    <x v="0"/>
    <n v="8"/>
    <s v="C"/>
    <s v="Science"/>
    <n v="61"/>
    <n v="84"/>
    <s v="Puri"/>
    <s v="C"/>
    <s v="Pass"/>
  </r>
  <r>
    <s v="S0511"/>
    <s v="Priya Das"/>
    <x v="0"/>
    <n v="7"/>
    <s v="B"/>
    <s v="Math"/>
    <n v="62"/>
    <n v="100"/>
    <s v="Angul"/>
    <s v="C"/>
    <s v="Pass"/>
  </r>
  <r>
    <s v="S0512"/>
    <s v="Amit Nayak"/>
    <x v="1"/>
    <n v="10"/>
    <s v="A"/>
    <s v="Computer"/>
    <n v="78"/>
    <n v="60"/>
    <s v="Balasore"/>
    <s v="B"/>
    <s v="Pass"/>
  </r>
  <r>
    <s v="S0513"/>
    <s v="Rahul Mohanty"/>
    <x v="1"/>
    <n v="6"/>
    <s v="C"/>
    <s v="Computer"/>
    <n v="67"/>
    <n v="75"/>
    <s v="Sambalpur"/>
    <s v="C"/>
    <s v="Pass"/>
  </r>
  <r>
    <s v="S0514"/>
    <s v="Vivaan Mohanty"/>
    <x v="1"/>
    <n v="12"/>
    <s v="B"/>
    <s v="Geography"/>
    <n v="72"/>
    <n v="81"/>
    <s v="Bhubaneswar"/>
    <s v="B"/>
    <s v="Pass"/>
  </r>
  <r>
    <s v="S0515"/>
    <s v="Kavya Das"/>
    <x v="0"/>
    <n v="6"/>
    <s v="C"/>
    <s v="History"/>
    <n v="86"/>
    <n v="81"/>
    <s v="Sambalpur"/>
    <s v="A"/>
    <s v="Pass"/>
  </r>
  <r>
    <s v="S0516"/>
    <s v="Pooja Nayak"/>
    <x v="0"/>
    <n v="11"/>
    <s v="A"/>
    <s v="Computer"/>
    <n v="93"/>
    <n v="85"/>
    <s v="Puri"/>
    <s v="A+"/>
    <s v="Pass"/>
  </r>
  <r>
    <s v="S0517"/>
    <s v="Ananya Patra"/>
    <x v="1"/>
    <n v="6"/>
    <s v="B"/>
    <s v="Math"/>
    <n v="43"/>
    <n v="82"/>
    <s v="Puri"/>
    <s v="F"/>
    <s v="Pass"/>
  </r>
  <r>
    <s v="S0518"/>
    <s v="Aditya Sahoo"/>
    <x v="1"/>
    <n v="11"/>
    <s v="C"/>
    <s v="History"/>
    <n v="97"/>
    <n v="67"/>
    <s v="Bhubaneswar"/>
    <s v="A+"/>
    <s v="Pass"/>
  </r>
  <r>
    <s v="S0519"/>
    <s v="Rohit Sahoo"/>
    <x v="1"/>
    <n v="9"/>
    <s v="B"/>
    <s v="Computer"/>
    <n v="93"/>
    <n v="86"/>
    <s v="Balasore"/>
    <s v="A+"/>
    <s v="Pass"/>
  </r>
  <r>
    <s v="S0520"/>
    <s v="Priya Mohanty"/>
    <x v="1"/>
    <n v="11"/>
    <s v="B"/>
    <s v="Computer"/>
    <n v="53"/>
    <n v="82"/>
    <s v="Puri"/>
    <s v="F"/>
    <s v="Pass"/>
  </r>
  <r>
    <s v="S0521"/>
    <s v="Aarav Nayak"/>
    <x v="1"/>
    <n v="7"/>
    <s v="A"/>
    <s v="Computer"/>
    <n v="94"/>
    <n v="72"/>
    <s v="Puri"/>
    <s v="A+"/>
    <s v="Pass"/>
  </r>
  <r>
    <s v="S0522"/>
    <s v="Kiran Nayak"/>
    <x v="0"/>
    <n v="10"/>
    <s v="A"/>
    <s v="Computer"/>
    <n v="93"/>
    <n v="97"/>
    <s v="Puri"/>
    <s v="A+"/>
    <s v="Pass"/>
  </r>
  <r>
    <s v="S0523"/>
    <s v="Rahul Das"/>
    <x v="0"/>
    <n v="8"/>
    <s v="B"/>
    <s v="Geography"/>
    <n v="87"/>
    <n v="83"/>
    <s v="Cuttack"/>
    <s v="A"/>
    <s v="Pass"/>
  </r>
  <r>
    <s v="S0524"/>
    <s v="Kiran Patra"/>
    <x v="0"/>
    <n v="11"/>
    <s v="B"/>
    <s v="Computer"/>
    <n v="78"/>
    <n v="83"/>
    <s v="Cuttack"/>
    <s v="B"/>
    <s v="Pass"/>
  </r>
  <r>
    <s v="S0525"/>
    <s v="Aditya Patra"/>
    <x v="1"/>
    <n v="8"/>
    <s v="C"/>
    <s v="English"/>
    <n v="85"/>
    <n v="61"/>
    <s v="Puri"/>
    <s v="A"/>
    <s v="Pass"/>
  </r>
  <r>
    <s v="S0526"/>
    <s v="Sneha Sahoo"/>
    <x v="0"/>
    <n v="12"/>
    <s v="C"/>
    <s v="English"/>
    <n v="48"/>
    <n v="89"/>
    <s v="Sambalpur"/>
    <s v="F"/>
    <s v="Pass"/>
  </r>
  <r>
    <s v="S0527"/>
    <s v="Rahul Sahoo"/>
    <x v="0"/>
    <n v="12"/>
    <s v="C"/>
    <s v="Math"/>
    <n v="93"/>
    <n v="93"/>
    <s v="Puri"/>
    <s v="A+"/>
    <s v="Pass"/>
  </r>
  <r>
    <s v="S0528"/>
    <s v="Priya Sahoo"/>
    <x v="1"/>
    <n v="12"/>
    <s v="C"/>
    <s v="Geography"/>
    <n v="95"/>
    <n v="71"/>
    <s v="Rourkela"/>
    <s v="A+"/>
    <s v="Pass"/>
  </r>
  <r>
    <s v="S0529"/>
    <s v="Ananya Nayak"/>
    <x v="0"/>
    <n v="12"/>
    <s v="A"/>
    <s v="Geography"/>
    <n v="51"/>
    <n v="96"/>
    <s v="Sambalpur"/>
    <s v="F"/>
    <s v="Pass"/>
  </r>
  <r>
    <s v="S0530"/>
    <s v="Riya Kumar"/>
    <x v="0"/>
    <n v="6"/>
    <s v="B"/>
    <s v="Computer"/>
    <n v="68"/>
    <n v="68"/>
    <s v="Bhubaneswar"/>
    <s v="C"/>
    <s v="Pass"/>
  </r>
  <r>
    <s v="S0531"/>
    <s v="Amit Patra"/>
    <x v="1"/>
    <n v="11"/>
    <s v="B"/>
    <s v="History"/>
    <n v="37"/>
    <n v="80"/>
    <s v="Cuttack"/>
    <s v="F"/>
    <s v="Pass"/>
  </r>
  <r>
    <s v="S0532"/>
    <s v="Ananya Mohanty"/>
    <x v="1"/>
    <n v="10"/>
    <s v="A"/>
    <s v="Computer"/>
    <n v="49"/>
    <n v="97"/>
    <s v="Sambalpur"/>
    <s v="F"/>
    <s v="Pass"/>
  </r>
  <r>
    <s v="S0533"/>
    <s v="Aarav Kumar"/>
    <x v="0"/>
    <n v="9"/>
    <s v="C"/>
    <s v="English"/>
    <n v="71"/>
    <n v="63"/>
    <s v="Sambalpur"/>
    <s v="B"/>
    <s v="Pass"/>
  </r>
  <r>
    <s v="S0534"/>
    <s v="Sohan Das"/>
    <x v="0"/>
    <n v="9"/>
    <s v="A"/>
    <s v="Science"/>
    <n v="53"/>
    <n v="91"/>
    <s v="Cuttack"/>
    <s v="F"/>
    <s v="Pass"/>
  </r>
  <r>
    <s v="S0535"/>
    <s v="Priya Das"/>
    <x v="1"/>
    <n v="7"/>
    <s v="A"/>
    <s v="History"/>
    <n v="70"/>
    <n v="82"/>
    <s v="Bhubaneswar"/>
    <s v="B"/>
    <s v="Pass"/>
  </r>
  <r>
    <s v="S0536"/>
    <s v="Vivaan Patra"/>
    <x v="0"/>
    <n v="7"/>
    <s v="C"/>
    <s v="Computer"/>
    <n v="63"/>
    <n v="70"/>
    <s v="Rourkela"/>
    <s v="C"/>
    <s v="Pass"/>
  </r>
  <r>
    <s v="S0537"/>
    <s v="Aditya Patra"/>
    <x v="0"/>
    <n v="6"/>
    <s v="C"/>
    <s v="Math"/>
    <n v="83"/>
    <n v="79"/>
    <s v="Sambalpur"/>
    <s v="A"/>
    <s v="Pass"/>
  </r>
  <r>
    <s v="S0538"/>
    <s v="Kiran Kumar"/>
    <x v="0"/>
    <n v="6"/>
    <s v="C"/>
    <s v="Math"/>
    <n v="41"/>
    <n v="67"/>
    <s v="Angul"/>
    <s v="F"/>
    <s v="Pass"/>
  </r>
  <r>
    <s v="S0539"/>
    <s v="Kiran Kumar"/>
    <x v="1"/>
    <n v="7"/>
    <s v="A"/>
    <s v="English"/>
    <n v="97"/>
    <n v="73"/>
    <s v="Bhubaneswar"/>
    <s v="A+"/>
    <s v="Pass"/>
  </r>
  <r>
    <s v="S0540"/>
    <s v="Sanjay Patra"/>
    <x v="1"/>
    <n v="10"/>
    <s v="C"/>
    <s v="Science"/>
    <n v="94"/>
    <n v="85"/>
    <s v="Sambalpur"/>
    <s v="A+"/>
    <s v="Pass"/>
  </r>
  <r>
    <s v="S0541"/>
    <s v="Sohan Nayak"/>
    <x v="0"/>
    <n v="6"/>
    <s v="C"/>
    <s v="History"/>
    <n v="35"/>
    <n v="98"/>
    <s v="Rourkela"/>
    <s v="F"/>
    <s v="Pass"/>
  </r>
  <r>
    <s v="S0542"/>
    <s v="Kavya Kumar"/>
    <x v="1"/>
    <n v="12"/>
    <s v="C"/>
    <s v="English"/>
    <n v="59"/>
    <n v="63"/>
    <s v="Cuttack"/>
    <s v="F"/>
    <s v="Pass"/>
  </r>
  <r>
    <s v="S0543"/>
    <s v="Rahul Nayak"/>
    <x v="0"/>
    <n v="9"/>
    <s v="B"/>
    <s v="History"/>
    <n v="86"/>
    <n v="68"/>
    <s v="Rourkela"/>
    <s v="A"/>
    <s v="Pass"/>
  </r>
  <r>
    <s v="S0544"/>
    <s v="Riya Nayak"/>
    <x v="1"/>
    <n v="11"/>
    <s v="A"/>
    <s v="History"/>
    <n v="76"/>
    <n v="84"/>
    <s v="Puri"/>
    <s v="B"/>
    <s v="Pass"/>
  </r>
  <r>
    <s v="S0545"/>
    <s v="Sanjay Kumar"/>
    <x v="1"/>
    <n v="9"/>
    <s v="A"/>
    <s v="Math"/>
    <n v="66"/>
    <n v="73"/>
    <s v="Rourkela"/>
    <s v="C"/>
    <s v="Pass"/>
  </r>
  <r>
    <s v="S0546"/>
    <s v="Neha Sahoo"/>
    <x v="0"/>
    <n v="10"/>
    <s v="C"/>
    <s v="History"/>
    <n v="81"/>
    <n v="75"/>
    <s v="Cuttack"/>
    <s v="A"/>
    <s v="Pass"/>
  </r>
  <r>
    <s v="S0547"/>
    <s v="Neha Mohanty"/>
    <x v="1"/>
    <n v="8"/>
    <s v="A"/>
    <s v="Math"/>
    <n v="85"/>
    <n v="60"/>
    <s v="Balasore"/>
    <s v="A"/>
    <s v="Pass"/>
  </r>
  <r>
    <s v="S0548"/>
    <s v="Aditya Mohanty"/>
    <x v="1"/>
    <n v="10"/>
    <s v="B"/>
    <s v="Science"/>
    <n v="39"/>
    <n v="96"/>
    <s v="Sambalpur"/>
    <s v="F"/>
    <s v="Pass"/>
  </r>
  <r>
    <s v="S0549"/>
    <s v="Kiran Sahoo"/>
    <x v="1"/>
    <n v="9"/>
    <s v="B"/>
    <s v="English"/>
    <n v="64"/>
    <n v="65"/>
    <s v="Balasore"/>
    <s v="C"/>
    <s v="Pass"/>
  </r>
  <r>
    <s v="S0550"/>
    <s v="Riya Patra"/>
    <x v="0"/>
    <n v="9"/>
    <s v="B"/>
    <s v="Geography"/>
    <n v="58"/>
    <n v="72"/>
    <s v="Angul"/>
    <s v="F"/>
    <s v="Pass"/>
  </r>
  <r>
    <s v="S0551"/>
    <s v="Pooja Patra"/>
    <x v="0"/>
    <n v="12"/>
    <s v="C"/>
    <s v="History"/>
    <n v="79"/>
    <n v="63"/>
    <s v="Sambalpur"/>
    <s v="B"/>
    <s v="Pass"/>
  </r>
  <r>
    <s v="S0552"/>
    <s v="Aarav Sahoo"/>
    <x v="1"/>
    <n v="6"/>
    <s v="B"/>
    <s v="Math"/>
    <n v="64"/>
    <n v="70"/>
    <s v="Puri"/>
    <s v="C"/>
    <s v="Pass"/>
  </r>
  <r>
    <s v="S0553"/>
    <s v="Neha Mohanty"/>
    <x v="0"/>
    <n v="7"/>
    <s v="C"/>
    <s v="History"/>
    <n v="84"/>
    <n v="78"/>
    <s v="Sambalpur"/>
    <s v="A"/>
    <s v="Pass"/>
  </r>
  <r>
    <s v="S0554"/>
    <s v="Amit Nayak"/>
    <x v="0"/>
    <n v="10"/>
    <s v="C"/>
    <s v="Science"/>
    <n v="64"/>
    <n v="71"/>
    <s v="Cuttack"/>
    <s v="C"/>
    <s v="Pass"/>
  </r>
  <r>
    <s v="S0555"/>
    <s v="Sneha Nayak"/>
    <x v="1"/>
    <n v="9"/>
    <s v="A"/>
    <s v="English"/>
    <n v="82"/>
    <n v="80"/>
    <s v="Bhubaneswar"/>
    <s v="A"/>
    <s v="Pass"/>
  </r>
  <r>
    <s v="S0556"/>
    <s v="Aditya Nayak"/>
    <x v="0"/>
    <n v="9"/>
    <s v="C"/>
    <s v="English"/>
    <n v="41"/>
    <n v="94"/>
    <s v="Angul"/>
    <s v="F"/>
    <s v="Pass"/>
  </r>
  <r>
    <s v="S0557"/>
    <s v="Vivaan Das"/>
    <x v="0"/>
    <n v="7"/>
    <s v="B"/>
    <s v="History"/>
    <n v="51"/>
    <n v="68"/>
    <s v="Sambalpur"/>
    <s v="F"/>
    <s v="Pass"/>
  </r>
  <r>
    <s v="S0558"/>
    <s v="Aarav Das"/>
    <x v="1"/>
    <n v="8"/>
    <s v="A"/>
    <s v="Science"/>
    <n v="94"/>
    <n v="94"/>
    <s v="Bhubaneswar"/>
    <s v="A+"/>
    <s v="Pass"/>
  </r>
  <r>
    <s v="S0559"/>
    <s v="Priya Nayak"/>
    <x v="0"/>
    <n v="10"/>
    <s v="A"/>
    <s v="English"/>
    <n v="77"/>
    <n v="80"/>
    <s v="Balasore"/>
    <s v="B"/>
    <s v="Pass"/>
  </r>
  <r>
    <s v="S0560"/>
    <s v="Aditya Mohanty"/>
    <x v="0"/>
    <n v="11"/>
    <s v="C"/>
    <s v="English"/>
    <n v="36"/>
    <n v="75"/>
    <s v="Rourkela"/>
    <s v="F"/>
    <s v="Pass"/>
  </r>
  <r>
    <s v="S0561"/>
    <s v="Kiran Nayak"/>
    <x v="1"/>
    <n v="9"/>
    <s v="B"/>
    <s v="History"/>
    <n v="69"/>
    <n v="86"/>
    <s v="Sambalpur"/>
    <s v="C"/>
    <s v="Pass"/>
  </r>
  <r>
    <s v="S0562"/>
    <s v="Kiran Das"/>
    <x v="0"/>
    <n v="12"/>
    <s v="B"/>
    <s v="History"/>
    <n v="95"/>
    <n v="94"/>
    <s v="Sambalpur"/>
    <s v="A+"/>
    <s v="Pass"/>
  </r>
  <r>
    <s v="S0563"/>
    <s v="Pooja Sahoo"/>
    <x v="1"/>
    <n v="7"/>
    <s v="B"/>
    <s v="English"/>
    <n v="100"/>
    <n v="64"/>
    <s v="Rourkela"/>
    <s v="A+"/>
    <s v="Pass"/>
  </r>
  <r>
    <s v="S0564"/>
    <s v="Sohan Das"/>
    <x v="1"/>
    <n v="9"/>
    <s v="C"/>
    <s v="History"/>
    <n v="96"/>
    <n v="78"/>
    <s v="Sambalpur"/>
    <s v="A+"/>
    <s v="Pass"/>
  </r>
  <r>
    <s v="S0565"/>
    <s v="Aditya Patra"/>
    <x v="0"/>
    <n v="10"/>
    <s v="A"/>
    <s v="Computer"/>
    <n v="58"/>
    <n v="96"/>
    <s v="Angul"/>
    <s v="F"/>
    <s v="Pass"/>
  </r>
  <r>
    <s v="S0566"/>
    <s v="Rahul Mohanty"/>
    <x v="0"/>
    <n v="10"/>
    <s v="A"/>
    <s v="Geography"/>
    <n v="48"/>
    <n v="89"/>
    <s v="Rourkela"/>
    <s v="F"/>
    <s v="Pass"/>
  </r>
  <r>
    <s v="S0567"/>
    <s v="Kiran Kumar"/>
    <x v="1"/>
    <n v="10"/>
    <s v="A"/>
    <s v="History"/>
    <n v="90"/>
    <n v="96"/>
    <s v="Puri"/>
    <s v="A+"/>
    <s v="Pass"/>
  </r>
  <r>
    <s v="S0568"/>
    <s v="Pooja Kumar"/>
    <x v="1"/>
    <n v="6"/>
    <s v="B"/>
    <s v="Computer"/>
    <n v="73"/>
    <n v="69"/>
    <s v="Sambalpur"/>
    <s v="B"/>
    <s v="Pass"/>
  </r>
  <r>
    <s v="S0569"/>
    <s v="Aditya Das"/>
    <x v="0"/>
    <n v="6"/>
    <s v="C"/>
    <s v="Math"/>
    <n v="41"/>
    <n v="73"/>
    <s v="Cuttack"/>
    <s v="F"/>
    <s v="Pass"/>
  </r>
  <r>
    <s v="S0570"/>
    <s v="Kiran Patra"/>
    <x v="1"/>
    <n v="11"/>
    <s v="A"/>
    <s v="English"/>
    <n v="91"/>
    <n v="87"/>
    <s v="Cuttack"/>
    <s v="A+"/>
    <s v="Pass"/>
  </r>
  <r>
    <s v="S0571"/>
    <s v="Aditya Nayak"/>
    <x v="1"/>
    <n v="8"/>
    <s v="A"/>
    <s v="English"/>
    <n v="91"/>
    <n v="90"/>
    <s v="Cuttack"/>
    <s v="A+"/>
    <s v="Pass"/>
  </r>
  <r>
    <s v="S0572"/>
    <s v="Sohan Patra"/>
    <x v="1"/>
    <n v="12"/>
    <s v="A"/>
    <s v="Computer"/>
    <n v="53"/>
    <n v="80"/>
    <s v="Puri"/>
    <s v="F"/>
    <s v="Pass"/>
  </r>
  <r>
    <s v="S0573"/>
    <s v="Vivaan Das"/>
    <x v="1"/>
    <n v="10"/>
    <s v="A"/>
    <s v="Math"/>
    <n v="62"/>
    <n v="87"/>
    <s v="Cuttack"/>
    <s v="C"/>
    <s v="Pass"/>
  </r>
  <r>
    <s v="S0574"/>
    <s v="Aditya Sahoo"/>
    <x v="1"/>
    <n v="12"/>
    <s v="A"/>
    <s v="Science"/>
    <n v="41"/>
    <n v="83"/>
    <s v="Balasore"/>
    <s v="F"/>
    <s v="Pass"/>
  </r>
  <r>
    <s v="S0575"/>
    <s v="Rohit Patra"/>
    <x v="0"/>
    <n v="10"/>
    <s v="C"/>
    <s v="History"/>
    <n v="67"/>
    <n v="61"/>
    <s v="Rourkela"/>
    <s v="C"/>
    <s v="Pass"/>
  </r>
  <r>
    <s v="S0576"/>
    <s v="Sneha Das"/>
    <x v="1"/>
    <n v="12"/>
    <s v="B"/>
    <s v="Science"/>
    <n v="36"/>
    <n v="81"/>
    <s v="Puri"/>
    <s v="F"/>
    <s v="Pass"/>
  </r>
  <r>
    <s v="S0577"/>
    <s v="Riya Nayak"/>
    <x v="1"/>
    <n v="10"/>
    <s v="C"/>
    <s v="Geography"/>
    <n v="39"/>
    <n v="100"/>
    <s v="Sambalpur"/>
    <s v="F"/>
    <s v="Pass"/>
  </r>
  <r>
    <s v="S0578"/>
    <s v="Ananya Patra"/>
    <x v="1"/>
    <n v="8"/>
    <s v="B"/>
    <s v="Math"/>
    <n v="90"/>
    <n v="96"/>
    <s v="Balasore"/>
    <s v="A+"/>
    <s v="Pass"/>
  </r>
  <r>
    <s v="S0579"/>
    <s v="Rohit Sahoo"/>
    <x v="1"/>
    <n v="8"/>
    <s v="A"/>
    <s v="Science"/>
    <n v="72"/>
    <n v="90"/>
    <s v="Angul"/>
    <s v="B"/>
    <s v="Pass"/>
  </r>
  <r>
    <s v="S0580"/>
    <s v="Sneha Kumar"/>
    <x v="0"/>
    <n v="8"/>
    <s v="C"/>
    <s v="English"/>
    <n v="57"/>
    <n v="71"/>
    <s v="Angul"/>
    <s v="F"/>
    <s v="Pass"/>
  </r>
  <r>
    <s v="S0581"/>
    <s v="Kiran Nayak"/>
    <x v="1"/>
    <n v="12"/>
    <s v="B"/>
    <s v="Geography"/>
    <n v="39"/>
    <n v="68"/>
    <s v="Cuttack"/>
    <s v="F"/>
    <s v="Pass"/>
  </r>
  <r>
    <s v="S0582"/>
    <s v="Kavya Kumar"/>
    <x v="1"/>
    <n v="11"/>
    <s v="A"/>
    <s v="English"/>
    <n v="66"/>
    <n v="84"/>
    <s v="Bhubaneswar"/>
    <s v="C"/>
    <s v="Pass"/>
  </r>
  <r>
    <s v="S0583"/>
    <s v="Rahul Das"/>
    <x v="1"/>
    <n v="12"/>
    <s v="C"/>
    <s v="Math"/>
    <n v="54"/>
    <n v="93"/>
    <s v="Balasore"/>
    <s v="F"/>
    <s v="Pass"/>
  </r>
  <r>
    <s v="S0584"/>
    <s v="Pooja Das"/>
    <x v="0"/>
    <n v="6"/>
    <s v="A"/>
    <s v="English"/>
    <n v="55"/>
    <n v="69"/>
    <s v="Balasore"/>
    <s v="F"/>
    <s v="Pass"/>
  </r>
  <r>
    <s v="S0585"/>
    <s v="Sanjay Kumar"/>
    <x v="0"/>
    <n v="8"/>
    <s v="B"/>
    <s v="English"/>
    <n v="85"/>
    <n v="75"/>
    <s v="Puri"/>
    <s v="A"/>
    <s v="Pass"/>
  </r>
  <r>
    <s v="S0586"/>
    <s v="Kiran Das"/>
    <x v="0"/>
    <n v="9"/>
    <s v="A"/>
    <s v="English"/>
    <n v="67"/>
    <n v="85"/>
    <s v="Cuttack"/>
    <s v="C"/>
    <s v="Pass"/>
  </r>
  <r>
    <s v="S0587"/>
    <s v="Vivaan Nayak"/>
    <x v="1"/>
    <n v="8"/>
    <s v="B"/>
    <s v="Math"/>
    <n v="53"/>
    <n v="95"/>
    <s v="Sambalpur"/>
    <s v="F"/>
    <s v="Pass"/>
  </r>
  <r>
    <s v="S0588"/>
    <s v="Priya Patra"/>
    <x v="0"/>
    <n v="10"/>
    <s v="A"/>
    <s v="History"/>
    <n v="63"/>
    <n v="71"/>
    <s v="Bhubaneswar"/>
    <s v="C"/>
    <s v="Pass"/>
  </r>
  <r>
    <s v="S0589"/>
    <s v="Amit Mohanty"/>
    <x v="0"/>
    <n v="8"/>
    <s v="B"/>
    <s v="Math"/>
    <n v="81"/>
    <n v="80"/>
    <s v="Sambalpur"/>
    <s v="A"/>
    <s v="Pass"/>
  </r>
  <r>
    <s v="S0590"/>
    <s v="Priya Sahoo"/>
    <x v="1"/>
    <n v="8"/>
    <s v="A"/>
    <s v="Math"/>
    <n v="37"/>
    <n v="79"/>
    <s v="Puri"/>
    <s v="F"/>
    <s v="Pass"/>
  </r>
  <r>
    <s v="S0591"/>
    <s v="Rohit Das"/>
    <x v="1"/>
    <n v="12"/>
    <s v="A"/>
    <s v="History"/>
    <n v="61"/>
    <n v="62"/>
    <s v="Puri"/>
    <s v="C"/>
    <s v="Pass"/>
  </r>
  <r>
    <s v="S0592"/>
    <s v="Amit Sahoo"/>
    <x v="1"/>
    <n v="8"/>
    <s v="A"/>
    <s v="Science"/>
    <n v="67"/>
    <n v="98"/>
    <s v="Puri"/>
    <s v="C"/>
    <s v="Pass"/>
  </r>
  <r>
    <s v="S0593"/>
    <s v="Rahul Kumar"/>
    <x v="1"/>
    <n v="6"/>
    <s v="B"/>
    <s v="History"/>
    <n v="83"/>
    <n v="99"/>
    <s v="Balasore"/>
    <s v="A"/>
    <s v="Pass"/>
  </r>
  <r>
    <s v="S0594"/>
    <s v="Aarav Kumar"/>
    <x v="1"/>
    <n v="7"/>
    <s v="A"/>
    <s v="English"/>
    <n v="53"/>
    <n v="70"/>
    <s v="Balasore"/>
    <s v="F"/>
    <s v="Pass"/>
  </r>
  <r>
    <s v="S0595"/>
    <s v="Kiran Kumar"/>
    <x v="1"/>
    <n v="8"/>
    <s v="C"/>
    <s v="Science"/>
    <n v="87"/>
    <n v="97"/>
    <s v="Cuttack"/>
    <s v="A"/>
    <s v="Pass"/>
  </r>
  <r>
    <s v="S0596"/>
    <s v="Aarav Das"/>
    <x v="1"/>
    <n v="12"/>
    <s v="C"/>
    <s v="Geography"/>
    <n v="56"/>
    <n v="96"/>
    <s v="Rourkela"/>
    <s v="F"/>
    <s v="Pass"/>
  </r>
  <r>
    <s v="S0597"/>
    <s v="Sanjay Kumar"/>
    <x v="0"/>
    <n v="11"/>
    <s v="C"/>
    <s v="English"/>
    <n v="86"/>
    <n v="75"/>
    <s v="Sambalpur"/>
    <s v="A"/>
    <s v="Pass"/>
  </r>
  <r>
    <s v="S0598"/>
    <s v="Kavya Nayak"/>
    <x v="0"/>
    <n v="8"/>
    <s v="B"/>
    <s v="History"/>
    <n v="71"/>
    <n v="74"/>
    <s v="Cuttack"/>
    <s v="B"/>
    <s v="Pass"/>
  </r>
  <r>
    <s v="S0599"/>
    <s v="Aarav Patra"/>
    <x v="0"/>
    <n v="7"/>
    <s v="B"/>
    <s v="Computer"/>
    <n v="39"/>
    <n v="89"/>
    <s v="Sambalpur"/>
    <s v="F"/>
    <s v="Pass"/>
  </r>
  <r>
    <s v="S0600"/>
    <s v="Kiran Patra"/>
    <x v="1"/>
    <n v="6"/>
    <s v="A"/>
    <s v="Science"/>
    <n v="44"/>
    <n v="78"/>
    <s v="Sambalpur"/>
    <s v="F"/>
    <s v="Pass"/>
  </r>
  <r>
    <s v="S0601"/>
    <s v="Neha Kumar"/>
    <x v="1"/>
    <n v="9"/>
    <s v="B"/>
    <s v="Math"/>
    <n v="77"/>
    <n v="73"/>
    <s v="Rourkela"/>
    <s v="B"/>
    <s v="Pass"/>
  </r>
  <r>
    <s v="S0602"/>
    <s v="Pooja Sahoo"/>
    <x v="1"/>
    <n v="6"/>
    <s v="B"/>
    <s v="History"/>
    <n v="38"/>
    <n v="87"/>
    <s v="Cuttack"/>
    <s v="F"/>
    <s v="Pass"/>
  </r>
  <r>
    <s v="S0603"/>
    <s v="Sneha Nayak"/>
    <x v="0"/>
    <n v="12"/>
    <s v="C"/>
    <s v="History"/>
    <n v="52"/>
    <n v="100"/>
    <s v="Sambalpur"/>
    <s v="F"/>
    <s v="Pass"/>
  </r>
  <r>
    <s v="S0604"/>
    <s v="Ananya Mohanty"/>
    <x v="0"/>
    <n v="12"/>
    <s v="A"/>
    <s v="Science"/>
    <n v="69"/>
    <n v="87"/>
    <s v="Puri"/>
    <s v="C"/>
    <s v="Pass"/>
  </r>
  <r>
    <s v="S0605"/>
    <s v="Sneha Sahoo"/>
    <x v="0"/>
    <n v="7"/>
    <s v="A"/>
    <s v="Computer"/>
    <n v="86"/>
    <n v="83"/>
    <s v="Balasore"/>
    <s v="A"/>
    <s v="Pass"/>
  </r>
  <r>
    <s v="S0606"/>
    <s v="Priya Mohanty"/>
    <x v="1"/>
    <n v="10"/>
    <s v="C"/>
    <s v="Math"/>
    <n v="67"/>
    <n v="100"/>
    <s v="Puri"/>
    <s v="C"/>
    <s v="Pass"/>
  </r>
  <r>
    <s v="S0607"/>
    <s v="Sneha Patra"/>
    <x v="1"/>
    <n v="11"/>
    <s v="B"/>
    <s v="English"/>
    <n v="39"/>
    <n v="73"/>
    <s v="Puri"/>
    <s v="F"/>
    <s v="Pass"/>
  </r>
  <r>
    <s v="S0608"/>
    <s v="Neha Mohanty"/>
    <x v="1"/>
    <n v="11"/>
    <s v="C"/>
    <s v="History"/>
    <n v="56"/>
    <n v="87"/>
    <s v="Rourkela"/>
    <s v="F"/>
    <s v="Pass"/>
  </r>
  <r>
    <s v="S0609"/>
    <s v="Kavya Nayak"/>
    <x v="0"/>
    <n v="6"/>
    <s v="A"/>
    <s v="Science"/>
    <n v="70"/>
    <n v="83"/>
    <s v="Rourkela"/>
    <s v="B"/>
    <s v="Pass"/>
  </r>
  <r>
    <s v="S0610"/>
    <s v="Sneha Mohanty"/>
    <x v="0"/>
    <n v="8"/>
    <s v="A"/>
    <s v="Geography"/>
    <n v="82"/>
    <n v="96"/>
    <s v="Bhubaneswar"/>
    <s v="A"/>
    <s v="Pass"/>
  </r>
  <r>
    <s v="S0611"/>
    <s v="Rahul Mohanty"/>
    <x v="0"/>
    <n v="6"/>
    <s v="C"/>
    <s v="English"/>
    <n v="80"/>
    <n v="70"/>
    <s v="Sambalpur"/>
    <s v="A"/>
    <s v="Pass"/>
  </r>
  <r>
    <s v="S0612"/>
    <s v="Riya Nayak"/>
    <x v="0"/>
    <n v="8"/>
    <s v="A"/>
    <s v="History"/>
    <n v="41"/>
    <n v="82"/>
    <s v="Rourkela"/>
    <s v="F"/>
    <s v="Pass"/>
  </r>
  <r>
    <s v="S0613"/>
    <s v="Ananya Sahoo"/>
    <x v="1"/>
    <n v="9"/>
    <s v="A"/>
    <s v="History"/>
    <n v="93"/>
    <n v="82"/>
    <s v="Puri"/>
    <s v="A+"/>
    <s v="Pass"/>
  </r>
  <r>
    <s v="S0614"/>
    <s v="Rohit Patra"/>
    <x v="0"/>
    <n v="7"/>
    <s v="A"/>
    <s v="English"/>
    <n v="40"/>
    <n v="75"/>
    <s v="Cuttack"/>
    <s v="F"/>
    <s v="Pass"/>
  </r>
  <r>
    <s v="S0615"/>
    <s v="Sneha Das"/>
    <x v="1"/>
    <n v="9"/>
    <s v="A"/>
    <s v="Science"/>
    <n v="59"/>
    <n v="82"/>
    <s v="Bhubaneswar"/>
    <s v="F"/>
    <s v="Pass"/>
  </r>
  <r>
    <s v="S0616"/>
    <s v="Pooja Nayak"/>
    <x v="1"/>
    <n v="6"/>
    <s v="B"/>
    <s v="Math"/>
    <n v="47"/>
    <n v="83"/>
    <s v="Cuttack"/>
    <s v="F"/>
    <s v="Pass"/>
  </r>
  <r>
    <s v="S0617"/>
    <s v="Rahul Mohanty"/>
    <x v="1"/>
    <n v="8"/>
    <s v="B"/>
    <s v="History"/>
    <n v="64"/>
    <n v="75"/>
    <s v="Puri"/>
    <s v="C"/>
    <s v="Pass"/>
  </r>
  <r>
    <s v="S0618"/>
    <s v="Sohan Das"/>
    <x v="1"/>
    <n v="12"/>
    <s v="A"/>
    <s v="Math"/>
    <n v="98"/>
    <n v="72"/>
    <s v="Balasore"/>
    <s v="A+"/>
    <s v="Pass"/>
  </r>
  <r>
    <s v="S0619"/>
    <s v="Riya Nayak"/>
    <x v="1"/>
    <n v="11"/>
    <s v="C"/>
    <s v="History"/>
    <n v="49"/>
    <n v="90"/>
    <s v="Cuttack"/>
    <s v="F"/>
    <s v="Pass"/>
  </r>
  <r>
    <s v="S0620"/>
    <s v="Priya Kumar"/>
    <x v="0"/>
    <n v="12"/>
    <s v="C"/>
    <s v="Science"/>
    <n v="79"/>
    <n v="72"/>
    <s v="Sambalpur"/>
    <s v="B"/>
    <s v="Pass"/>
  </r>
  <r>
    <s v="S0621"/>
    <s v="Riya Das"/>
    <x v="1"/>
    <n v="12"/>
    <s v="B"/>
    <s v="History"/>
    <n v="62"/>
    <n v="88"/>
    <s v="Balasore"/>
    <s v="C"/>
    <s v="Pass"/>
  </r>
  <r>
    <s v="S0622"/>
    <s v="Aarav Patra"/>
    <x v="1"/>
    <n v="7"/>
    <s v="A"/>
    <s v="Computer"/>
    <n v="66"/>
    <n v="92"/>
    <s v="Sambalpur"/>
    <s v="C"/>
    <s v="Pass"/>
  </r>
  <r>
    <s v="S0623"/>
    <s v="Pooja Patra"/>
    <x v="0"/>
    <n v="10"/>
    <s v="A"/>
    <s v="History"/>
    <n v="76"/>
    <n v="65"/>
    <s v="Bhubaneswar"/>
    <s v="B"/>
    <s v="Pass"/>
  </r>
  <r>
    <s v="S0624"/>
    <s v="Sneha Nayak"/>
    <x v="0"/>
    <n v="6"/>
    <s v="A"/>
    <s v="Math"/>
    <n v="35"/>
    <n v="99"/>
    <s v="Bhubaneswar"/>
    <s v="F"/>
    <s v="Pass"/>
  </r>
  <r>
    <s v="S0625"/>
    <s v="Neha Sahoo"/>
    <x v="1"/>
    <n v="9"/>
    <s v="C"/>
    <s v="History"/>
    <n v="75"/>
    <n v="84"/>
    <s v="Cuttack"/>
    <s v="B"/>
    <s v="Pass"/>
  </r>
  <r>
    <s v="S0626"/>
    <s v="Priya Sahoo"/>
    <x v="0"/>
    <n v="8"/>
    <s v="C"/>
    <s v="Computer"/>
    <n v="64"/>
    <n v="100"/>
    <s v="Sambalpur"/>
    <s v="C"/>
    <s v="Pass"/>
  </r>
  <r>
    <s v="S0627"/>
    <s v="Riya Patra"/>
    <x v="0"/>
    <n v="10"/>
    <s v="A"/>
    <s v="History"/>
    <n v="52"/>
    <n v="81"/>
    <s v="Angul"/>
    <s v="F"/>
    <s v="Pass"/>
  </r>
  <r>
    <s v="S0628"/>
    <s v="Kiran Kumar"/>
    <x v="1"/>
    <n v="12"/>
    <s v="B"/>
    <s v="Science"/>
    <n v="57"/>
    <n v="62"/>
    <s v="Angul"/>
    <s v="F"/>
    <s v="Pass"/>
  </r>
  <r>
    <s v="S0629"/>
    <s v="Aarav Kumar"/>
    <x v="0"/>
    <n v="6"/>
    <s v="A"/>
    <s v="History"/>
    <n v="67"/>
    <n v="77"/>
    <s v="Bhubaneswar"/>
    <s v="C"/>
    <s v="Pass"/>
  </r>
  <r>
    <s v="S0630"/>
    <s v="Aarav Sahoo"/>
    <x v="0"/>
    <n v="8"/>
    <s v="B"/>
    <s v="Computer"/>
    <n v="66"/>
    <n v="83"/>
    <s v="Angul"/>
    <s v="C"/>
    <s v="Pass"/>
  </r>
  <r>
    <s v="S0631"/>
    <s v="Riya Kumar"/>
    <x v="1"/>
    <n v="8"/>
    <s v="C"/>
    <s v="History"/>
    <n v="88"/>
    <n v="99"/>
    <s v="Puri"/>
    <s v="A"/>
    <s v="Pass"/>
  </r>
  <r>
    <s v="S0632"/>
    <s v="Aditya Das"/>
    <x v="1"/>
    <n v="10"/>
    <s v="C"/>
    <s v="English"/>
    <n v="35"/>
    <n v="65"/>
    <s v="Angul"/>
    <s v="F"/>
    <s v="Pass"/>
  </r>
  <r>
    <s v="S0633"/>
    <s v="Riya Sahoo"/>
    <x v="1"/>
    <n v="6"/>
    <s v="B"/>
    <s v="History"/>
    <n v="100"/>
    <n v="95"/>
    <s v="Rourkela"/>
    <s v="A+"/>
    <s v="Pass"/>
  </r>
  <r>
    <s v="S0634"/>
    <s v="Ananya Mohanty"/>
    <x v="0"/>
    <n v="12"/>
    <s v="C"/>
    <s v="Math"/>
    <n v="100"/>
    <n v="83"/>
    <s v="Sambalpur"/>
    <s v="A+"/>
    <s v="Pass"/>
  </r>
  <r>
    <s v="S0635"/>
    <s v="Amit Mohanty"/>
    <x v="0"/>
    <n v="9"/>
    <s v="B"/>
    <s v="Science"/>
    <n v="57"/>
    <n v="67"/>
    <s v="Puri"/>
    <s v="F"/>
    <s v="Pass"/>
  </r>
  <r>
    <s v="S0636"/>
    <s v="Priya Sahoo"/>
    <x v="1"/>
    <n v="11"/>
    <s v="A"/>
    <s v="Computer"/>
    <n v="54"/>
    <n v="68"/>
    <s v="Rourkela"/>
    <s v="F"/>
    <s v="Pass"/>
  </r>
  <r>
    <s v="S0637"/>
    <s v="Riya Mohanty"/>
    <x v="1"/>
    <n v="8"/>
    <s v="C"/>
    <s v="Math"/>
    <n v="60"/>
    <n v="91"/>
    <s v="Sambalpur"/>
    <s v="C"/>
    <s v="Pass"/>
  </r>
  <r>
    <s v="S0638"/>
    <s v="Priya Das"/>
    <x v="1"/>
    <n v="11"/>
    <s v="A"/>
    <s v="English"/>
    <n v="74"/>
    <n v="68"/>
    <s v="Balasore"/>
    <s v="B"/>
    <s v="Pass"/>
  </r>
  <r>
    <s v="S0639"/>
    <s v="Kavya Das"/>
    <x v="1"/>
    <n v="8"/>
    <s v="A"/>
    <s v="English"/>
    <n v="71"/>
    <n v="94"/>
    <s v="Sambalpur"/>
    <s v="B"/>
    <s v="Pass"/>
  </r>
  <r>
    <s v="S0640"/>
    <s v="Riya Das"/>
    <x v="1"/>
    <n v="11"/>
    <s v="B"/>
    <s v="Science"/>
    <n v="38"/>
    <n v="94"/>
    <s v="Bhubaneswar"/>
    <s v="F"/>
    <s v="Pass"/>
  </r>
  <r>
    <s v="S0641"/>
    <s v="Aarav Nayak"/>
    <x v="0"/>
    <n v="11"/>
    <s v="B"/>
    <s v="History"/>
    <n v="47"/>
    <n v="90"/>
    <s v="Puri"/>
    <s v="F"/>
    <s v="Pass"/>
  </r>
  <r>
    <s v="S0642"/>
    <s v="Vivaan Patra"/>
    <x v="1"/>
    <n v="9"/>
    <s v="B"/>
    <s v="English"/>
    <n v="71"/>
    <n v="92"/>
    <s v="Rourkela"/>
    <s v="B"/>
    <s v="Pass"/>
  </r>
  <r>
    <s v="S0643"/>
    <s v="Rohit Kumar"/>
    <x v="0"/>
    <n v="8"/>
    <s v="A"/>
    <s v="Science"/>
    <n v="40"/>
    <n v="91"/>
    <s v="Cuttack"/>
    <s v="F"/>
    <s v="Pass"/>
  </r>
  <r>
    <s v="S0644"/>
    <s v="Sohan Mohanty"/>
    <x v="0"/>
    <n v="7"/>
    <s v="C"/>
    <s v="Geography"/>
    <n v="79"/>
    <n v="96"/>
    <s v="Puri"/>
    <s v="B"/>
    <s v="Pass"/>
  </r>
  <r>
    <s v="S0645"/>
    <s v="Sneha Das"/>
    <x v="1"/>
    <n v="9"/>
    <s v="C"/>
    <s v="Computer"/>
    <n v="70"/>
    <n v="75"/>
    <s v="Sambalpur"/>
    <s v="B"/>
    <s v="Pass"/>
  </r>
  <r>
    <s v="S0646"/>
    <s v="Neha Patra"/>
    <x v="1"/>
    <n v="11"/>
    <s v="A"/>
    <s v="Science"/>
    <n v="93"/>
    <n v="80"/>
    <s v="Bhubaneswar"/>
    <s v="A+"/>
    <s v="Pass"/>
  </r>
  <r>
    <s v="S0647"/>
    <s v="Sanjay Kumar"/>
    <x v="0"/>
    <n v="6"/>
    <s v="B"/>
    <s v="Math"/>
    <n v="72"/>
    <n v="74"/>
    <s v="Sambalpur"/>
    <s v="B"/>
    <s v="Pass"/>
  </r>
  <r>
    <s v="S0648"/>
    <s v="Aditya Mohanty"/>
    <x v="0"/>
    <n v="12"/>
    <s v="A"/>
    <s v="Computer"/>
    <n v="78"/>
    <n v="83"/>
    <s v="Balasore"/>
    <s v="B"/>
    <s v="Pass"/>
  </r>
  <r>
    <s v="S0649"/>
    <s v="Kiran Patra"/>
    <x v="1"/>
    <n v="6"/>
    <s v="A"/>
    <s v="Math"/>
    <n v="56"/>
    <n v="91"/>
    <s v="Angul"/>
    <s v="F"/>
    <s v="Pass"/>
  </r>
  <r>
    <s v="S0650"/>
    <s v="Sohan Das"/>
    <x v="0"/>
    <n v="10"/>
    <s v="A"/>
    <s v="Math"/>
    <n v="97"/>
    <n v="97"/>
    <s v="Cuttack"/>
    <s v="A+"/>
    <s v="Pass"/>
  </r>
  <r>
    <s v="S0651"/>
    <s v="Vivaan Patra"/>
    <x v="0"/>
    <n v="8"/>
    <s v="B"/>
    <s v="Geography"/>
    <n v="36"/>
    <n v="71"/>
    <s v="Bhubaneswar"/>
    <s v="F"/>
    <s v="Pass"/>
  </r>
  <r>
    <s v="S0652"/>
    <s v="Pooja Mohanty"/>
    <x v="0"/>
    <n v="10"/>
    <s v="A"/>
    <s v="Geography"/>
    <n v="44"/>
    <n v="72"/>
    <s v="Bhubaneswar"/>
    <s v="F"/>
    <s v="Pass"/>
  </r>
  <r>
    <s v="S0653"/>
    <s v="Rohit Nayak"/>
    <x v="1"/>
    <n v="6"/>
    <s v="B"/>
    <s v="History"/>
    <n v="65"/>
    <n v="63"/>
    <s v="Rourkela"/>
    <s v="C"/>
    <s v="Pass"/>
  </r>
  <r>
    <s v="S0654"/>
    <s v="Sneha Nayak"/>
    <x v="1"/>
    <n v="9"/>
    <s v="B"/>
    <s v="English"/>
    <n v="100"/>
    <n v="88"/>
    <s v="Balasore"/>
    <s v="A+"/>
    <s v="Pass"/>
  </r>
  <r>
    <s v="S0655"/>
    <s v="Amit Mohanty"/>
    <x v="0"/>
    <n v="12"/>
    <s v="A"/>
    <s v="History"/>
    <n v="96"/>
    <n v="78"/>
    <s v="Angul"/>
    <s v="A+"/>
    <s v="Pass"/>
  </r>
  <r>
    <s v="S0656"/>
    <s v="Sanjay Sahoo"/>
    <x v="1"/>
    <n v="12"/>
    <s v="A"/>
    <s v="Math"/>
    <n v="41"/>
    <n v="63"/>
    <s v="Puri"/>
    <s v="F"/>
    <s v="Pass"/>
  </r>
  <r>
    <s v="S0657"/>
    <s v="Rahul Nayak"/>
    <x v="1"/>
    <n v="8"/>
    <s v="B"/>
    <s v="Math"/>
    <n v="38"/>
    <n v="92"/>
    <s v="Balasore"/>
    <s v="F"/>
    <s v="Pass"/>
  </r>
  <r>
    <s v="S0658"/>
    <s v="Ananya Nayak"/>
    <x v="1"/>
    <n v="8"/>
    <s v="A"/>
    <s v="English"/>
    <n v="50"/>
    <n v="61"/>
    <s v="Bhubaneswar"/>
    <s v="F"/>
    <s v="Pass"/>
  </r>
  <r>
    <s v="S0659"/>
    <s v="Kiran Patra"/>
    <x v="0"/>
    <n v="6"/>
    <s v="A"/>
    <s v="Math"/>
    <n v="63"/>
    <n v="100"/>
    <s v="Angul"/>
    <s v="C"/>
    <s v="Pass"/>
  </r>
  <r>
    <s v="S0660"/>
    <s v="Vivaan Sahoo"/>
    <x v="0"/>
    <n v="9"/>
    <s v="B"/>
    <s v="English"/>
    <n v="52"/>
    <n v="81"/>
    <s v="Bhubaneswar"/>
    <s v="F"/>
    <s v="Pass"/>
  </r>
  <r>
    <s v="S0661"/>
    <s v="Aarav Kumar"/>
    <x v="1"/>
    <n v="6"/>
    <s v="B"/>
    <s v="English"/>
    <n v="50"/>
    <n v="96"/>
    <s v="Angul"/>
    <s v="F"/>
    <s v="Pass"/>
  </r>
  <r>
    <s v="S0662"/>
    <s v="Sohan Patra"/>
    <x v="1"/>
    <n v="11"/>
    <s v="C"/>
    <s v="History"/>
    <n v="37"/>
    <n v="91"/>
    <s v="Rourkela"/>
    <s v="F"/>
    <s v="Pass"/>
  </r>
  <r>
    <s v="S0663"/>
    <s v="Aditya Das"/>
    <x v="0"/>
    <n v="10"/>
    <s v="C"/>
    <s v="History"/>
    <n v="72"/>
    <n v="92"/>
    <s v="Angul"/>
    <s v="B"/>
    <s v="Pass"/>
  </r>
  <r>
    <s v="S0664"/>
    <s v="Sneha Patra"/>
    <x v="0"/>
    <n v="6"/>
    <s v="B"/>
    <s v="English"/>
    <n v="95"/>
    <n v="85"/>
    <s v="Puri"/>
    <s v="A+"/>
    <s v="Pass"/>
  </r>
  <r>
    <s v="S0665"/>
    <s v="Priya Nayak"/>
    <x v="0"/>
    <n v="9"/>
    <s v="B"/>
    <s v="Computer"/>
    <n v="91"/>
    <n v="88"/>
    <s v="Puri"/>
    <s v="A+"/>
    <s v="Pass"/>
  </r>
  <r>
    <s v="S0666"/>
    <s v="Rohit Patra"/>
    <x v="0"/>
    <n v="12"/>
    <s v="B"/>
    <s v="History"/>
    <n v="74"/>
    <n v="61"/>
    <s v="Puri"/>
    <s v="B"/>
    <s v="Pass"/>
  </r>
  <r>
    <s v="S0667"/>
    <s v="Aditya Mohanty"/>
    <x v="1"/>
    <n v="11"/>
    <s v="A"/>
    <s v="History"/>
    <n v="87"/>
    <n v="87"/>
    <s v="Angul"/>
    <s v="A"/>
    <s v="Pass"/>
  </r>
  <r>
    <s v="S0668"/>
    <s v="Rahul Kumar"/>
    <x v="0"/>
    <n v="9"/>
    <s v="A"/>
    <s v="Math"/>
    <n v="80"/>
    <n v="73"/>
    <s v="Rourkela"/>
    <s v="A"/>
    <s v="Pass"/>
  </r>
  <r>
    <s v="S0669"/>
    <s v="Kavya Patra"/>
    <x v="0"/>
    <n v="11"/>
    <s v="A"/>
    <s v="Geography"/>
    <n v="98"/>
    <n v="71"/>
    <s v="Puri"/>
    <s v="A+"/>
    <s v="Pass"/>
  </r>
  <r>
    <s v="S0670"/>
    <s v="Sohan Patra"/>
    <x v="1"/>
    <n v="12"/>
    <s v="A"/>
    <s v="Geography"/>
    <n v="58"/>
    <n v="100"/>
    <s v="Angul"/>
    <s v="F"/>
    <s v="Pass"/>
  </r>
  <r>
    <s v="S0671"/>
    <s v="Neha Nayak"/>
    <x v="0"/>
    <n v="12"/>
    <s v="B"/>
    <s v="Geography"/>
    <n v="79"/>
    <n v="98"/>
    <s v="Puri"/>
    <s v="B"/>
    <s v="Pass"/>
  </r>
  <r>
    <s v="S0672"/>
    <s v="Neha Sahoo"/>
    <x v="1"/>
    <n v="12"/>
    <s v="C"/>
    <s v="English"/>
    <n v="100"/>
    <n v="83"/>
    <s v="Puri"/>
    <s v="A+"/>
    <s v="Pass"/>
  </r>
  <r>
    <s v="S0673"/>
    <s v="Kavya Sahoo"/>
    <x v="0"/>
    <n v="8"/>
    <s v="A"/>
    <s v="Geography"/>
    <n v="52"/>
    <n v="70"/>
    <s v="Bhubaneswar"/>
    <s v="F"/>
    <s v="Pass"/>
  </r>
  <r>
    <s v="S0674"/>
    <s v="Amit Kumar"/>
    <x v="0"/>
    <n v="12"/>
    <s v="B"/>
    <s v="Science"/>
    <n v="95"/>
    <n v="80"/>
    <s v="Puri"/>
    <s v="A+"/>
    <s v="Pass"/>
  </r>
  <r>
    <s v="S0675"/>
    <s v="Amit Mohanty"/>
    <x v="0"/>
    <n v="10"/>
    <s v="C"/>
    <s v="Computer"/>
    <n v="52"/>
    <n v="83"/>
    <s v="Cuttack"/>
    <s v="F"/>
    <s v="Pass"/>
  </r>
  <r>
    <s v="S0676"/>
    <s v="Vivaan Patra"/>
    <x v="0"/>
    <n v="8"/>
    <s v="C"/>
    <s v="Computer"/>
    <n v="70"/>
    <n v="82"/>
    <s v="Sambalpur"/>
    <s v="B"/>
    <s v="Pass"/>
  </r>
  <r>
    <s v="S0677"/>
    <s v="Kiran Nayak"/>
    <x v="0"/>
    <n v="6"/>
    <s v="A"/>
    <s v="History"/>
    <n v="50"/>
    <n v="68"/>
    <s v="Cuttack"/>
    <s v="F"/>
    <s v="Pass"/>
  </r>
  <r>
    <s v="S0678"/>
    <s v="Riya Nayak"/>
    <x v="1"/>
    <n v="6"/>
    <s v="B"/>
    <s v="English"/>
    <n v="51"/>
    <n v="66"/>
    <s v="Sambalpur"/>
    <s v="F"/>
    <s v="Pass"/>
  </r>
  <r>
    <s v="S0679"/>
    <s v="Aditya Sahoo"/>
    <x v="0"/>
    <n v="8"/>
    <s v="B"/>
    <s v="Science"/>
    <n v="48"/>
    <n v="84"/>
    <s v="Bhubaneswar"/>
    <s v="F"/>
    <s v="Pass"/>
  </r>
  <r>
    <s v="S0680"/>
    <s v="Kavya Patra"/>
    <x v="1"/>
    <n v="8"/>
    <s v="B"/>
    <s v="English"/>
    <n v="61"/>
    <n v="60"/>
    <s v="Angul"/>
    <s v="C"/>
    <s v="Pass"/>
  </r>
  <r>
    <s v="S0681"/>
    <s v="Kiran Patra"/>
    <x v="1"/>
    <n v="8"/>
    <s v="A"/>
    <s v="Math"/>
    <n v="57"/>
    <n v="84"/>
    <s v="Puri"/>
    <s v="F"/>
    <s v="Pass"/>
  </r>
  <r>
    <s v="S0682"/>
    <s v="Kavya Mohanty"/>
    <x v="0"/>
    <n v="12"/>
    <s v="B"/>
    <s v="Science"/>
    <n v="39"/>
    <n v="67"/>
    <s v="Rourkela"/>
    <s v="F"/>
    <s v="Pass"/>
  </r>
  <r>
    <s v="S0683"/>
    <s v="Neha Kumar"/>
    <x v="0"/>
    <n v="10"/>
    <s v="C"/>
    <s v="History"/>
    <n v="67"/>
    <n v="70"/>
    <s v="Bhubaneswar"/>
    <s v="C"/>
    <s v="Pass"/>
  </r>
  <r>
    <s v="S0684"/>
    <s v="Vivaan Kumar"/>
    <x v="1"/>
    <n v="9"/>
    <s v="A"/>
    <s v="English"/>
    <n v="35"/>
    <n v="62"/>
    <s v="Balasore"/>
    <s v="F"/>
    <s v="Pass"/>
  </r>
  <r>
    <s v="S0685"/>
    <s v="Kavya Mohanty"/>
    <x v="0"/>
    <n v="12"/>
    <s v="A"/>
    <s v="Math"/>
    <n v="84"/>
    <n v="91"/>
    <s v="Cuttack"/>
    <s v="A"/>
    <s v="Pass"/>
  </r>
  <r>
    <s v="S0686"/>
    <s v="Sanjay Mohanty"/>
    <x v="0"/>
    <n v="12"/>
    <s v="B"/>
    <s v="Geography"/>
    <n v="94"/>
    <n v="87"/>
    <s v="Puri"/>
    <s v="A+"/>
    <s v="Pass"/>
  </r>
  <r>
    <s v="S0687"/>
    <s v="Sohan Das"/>
    <x v="1"/>
    <n v="6"/>
    <s v="A"/>
    <s v="Geography"/>
    <n v="94"/>
    <n v="81"/>
    <s v="Angul"/>
    <s v="A+"/>
    <s v="Pass"/>
  </r>
  <r>
    <s v="S0688"/>
    <s v="Kiran Sahoo"/>
    <x v="1"/>
    <n v="6"/>
    <s v="A"/>
    <s v="Science"/>
    <n v="95"/>
    <n v="82"/>
    <s v="Puri"/>
    <s v="A+"/>
    <s v="Pass"/>
  </r>
  <r>
    <s v="S0689"/>
    <s v="Sanjay Sahoo"/>
    <x v="1"/>
    <n v="12"/>
    <s v="A"/>
    <s v="Computer"/>
    <n v="44"/>
    <n v="84"/>
    <s v="Rourkela"/>
    <s v="F"/>
    <s v="Pass"/>
  </r>
  <r>
    <s v="S0690"/>
    <s v="Riya Sahoo"/>
    <x v="0"/>
    <n v="11"/>
    <s v="A"/>
    <s v="History"/>
    <n v="62"/>
    <n v="70"/>
    <s v="Bhubaneswar"/>
    <s v="C"/>
    <s v="Pass"/>
  </r>
  <r>
    <s v="S0691"/>
    <s v="Vivaan Das"/>
    <x v="0"/>
    <n v="11"/>
    <s v="B"/>
    <s v="Computer"/>
    <n v="78"/>
    <n v="87"/>
    <s v="Bhubaneswar"/>
    <s v="B"/>
    <s v="Pass"/>
  </r>
  <r>
    <s v="S0692"/>
    <s v="Riya Kumar"/>
    <x v="0"/>
    <n v="11"/>
    <s v="B"/>
    <s v="Science"/>
    <n v="96"/>
    <n v="92"/>
    <s v="Cuttack"/>
    <s v="A+"/>
    <s v="Pass"/>
  </r>
  <r>
    <s v="S0693"/>
    <s v="Sneha Das"/>
    <x v="1"/>
    <n v="7"/>
    <s v="B"/>
    <s v="Geography"/>
    <n v="65"/>
    <n v="98"/>
    <s v="Angul"/>
    <s v="C"/>
    <s v="Pass"/>
  </r>
  <r>
    <s v="S0694"/>
    <s v="Vivaan Mohanty"/>
    <x v="0"/>
    <n v="10"/>
    <s v="B"/>
    <s v="Math"/>
    <n v="44"/>
    <n v="96"/>
    <s v="Puri"/>
    <s v="F"/>
    <s v="Pass"/>
  </r>
  <r>
    <s v="S0695"/>
    <s v="Vivaan Nayak"/>
    <x v="1"/>
    <n v="11"/>
    <s v="C"/>
    <s v="Computer"/>
    <n v="72"/>
    <n v="70"/>
    <s v="Cuttack"/>
    <s v="B"/>
    <s v="Pass"/>
  </r>
  <r>
    <s v="S0696"/>
    <s v="Sanjay Nayak"/>
    <x v="1"/>
    <n v="6"/>
    <s v="B"/>
    <s v="History"/>
    <n v="50"/>
    <n v="84"/>
    <s v="Sambalpur"/>
    <s v="F"/>
    <s v="Pass"/>
  </r>
  <r>
    <s v="S0697"/>
    <s v="Sneha Nayak"/>
    <x v="0"/>
    <n v="11"/>
    <s v="B"/>
    <s v="Computer"/>
    <n v="71"/>
    <n v="75"/>
    <s v="Rourkela"/>
    <s v="B"/>
    <s v="Pass"/>
  </r>
  <r>
    <s v="S0698"/>
    <s v="Riya Nayak"/>
    <x v="0"/>
    <n v="12"/>
    <s v="C"/>
    <s v="English"/>
    <n v="56"/>
    <n v="74"/>
    <s v="Cuttack"/>
    <s v="F"/>
    <s v="Pass"/>
  </r>
  <r>
    <s v="S0699"/>
    <s v="Neha Mohanty"/>
    <x v="1"/>
    <n v="7"/>
    <s v="C"/>
    <s v="Math"/>
    <n v="78"/>
    <n v="81"/>
    <s v="Rourkela"/>
    <s v="B"/>
    <s v="Pass"/>
  </r>
  <r>
    <s v="S0700"/>
    <s v="Amit Das"/>
    <x v="0"/>
    <n v="11"/>
    <s v="C"/>
    <s v="Geography"/>
    <n v="61"/>
    <n v="61"/>
    <s v="Puri"/>
    <s v="C"/>
    <s v="Pass"/>
  </r>
  <r>
    <s v="S0701"/>
    <s v="Ananya Das"/>
    <x v="1"/>
    <n v="7"/>
    <s v="A"/>
    <s v="Math"/>
    <n v="65"/>
    <n v="92"/>
    <s v="Angul"/>
    <s v="C"/>
    <s v="Pass"/>
  </r>
  <r>
    <s v="S0702"/>
    <s v="Rohit Das"/>
    <x v="1"/>
    <n v="6"/>
    <s v="B"/>
    <s v="English"/>
    <n v="70"/>
    <n v="81"/>
    <s v="Angul"/>
    <s v="B"/>
    <s v="Pass"/>
  </r>
  <r>
    <s v="S0703"/>
    <s v="Kavya Nayak"/>
    <x v="1"/>
    <n v="11"/>
    <s v="B"/>
    <s v="History"/>
    <n v="93"/>
    <n v="93"/>
    <s v="Angul"/>
    <s v="A+"/>
    <s v="Pass"/>
  </r>
  <r>
    <s v="S0704"/>
    <s v="Sohan Nayak"/>
    <x v="0"/>
    <n v="9"/>
    <s v="A"/>
    <s v="History"/>
    <n v="67"/>
    <n v="88"/>
    <s v="Cuttack"/>
    <s v="C"/>
    <s v="Pass"/>
  </r>
  <r>
    <s v="S0705"/>
    <s v="Kavya Kumar"/>
    <x v="1"/>
    <n v="9"/>
    <s v="C"/>
    <s v="Math"/>
    <n v="43"/>
    <n v="68"/>
    <s v="Bhubaneswar"/>
    <s v="F"/>
    <s v="Pass"/>
  </r>
  <r>
    <s v="S0706"/>
    <s v="Vivaan Das"/>
    <x v="0"/>
    <n v="8"/>
    <s v="B"/>
    <s v="Computer"/>
    <n v="86"/>
    <n v="78"/>
    <s v="Puri"/>
    <s v="A"/>
    <s v="Pass"/>
  </r>
  <r>
    <s v="S0707"/>
    <s v="Sohan Kumar"/>
    <x v="1"/>
    <n v="12"/>
    <s v="C"/>
    <s v="English"/>
    <n v="41"/>
    <n v="95"/>
    <s v="Rourkela"/>
    <s v="F"/>
    <s v="Pass"/>
  </r>
  <r>
    <s v="S0708"/>
    <s v="Riya Mohanty"/>
    <x v="0"/>
    <n v="10"/>
    <s v="A"/>
    <s v="Math"/>
    <n v="63"/>
    <n v="99"/>
    <s v="Balasore"/>
    <s v="C"/>
    <s v="Pass"/>
  </r>
  <r>
    <s v="S0709"/>
    <s v="Sanjay Kumar"/>
    <x v="1"/>
    <n v="8"/>
    <s v="A"/>
    <s v="Science"/>
    <n v="45"/>
    <n v="99"/>
    <s v="Balasore"/>
    <s v="F"/>
    <s v="Pass"/>
  </r>
  <r>
    <s v="S0710"/>
    <s v="Kiran Kumar"/>
    <x v="0"/>
    <n v="7"/>
    <s v="A"/>
    <s v="Computer"/>
    <n v="77"/>
    <n v="100"/>
    <s v="Angul"/>
    <s v="B"/>
    <s v="Pass"/>
  </r>
  <r>
    <s v="S0711"/>
    <s v="Sohan Mohanty"/>
    <x v="1"/>
    <n v="6"/>
    <s v="C"/>
    <s v="Geography"/>
    <n v="86"/>
    <n v="60"/>
    <s v="Puri"/>
    <s v="A"/>
    <s v="Pass"/>
  </r>
  <r>
    <s v="S0712"/>
    <s v="Aditya Patra"/>
    <x v="1"/>
    <n v="12"/>
    <s v="A"/>
    <s v="Science"/>
    <n v="49"/>
    <n v="98"/>
    <s v="Puri"/>
    <s v="F"/>
    <s v="Pass"/>
  </r>
  <r>
    <s v="S0713"/>
    <s v="Vivaan Das"/>
    <x v="0"/>
    <n v="10"/>
    <s v="B"/>
    <s v="History"/>
    <n v="60"/>
    <n v="63"/>
    <s v="Sambalpur"/>
    <s v="C"/>
    <s v="Pass"/>
  </r>
  <r>
    <s v="S0714"/>
    <s v="Sohan Kumar"/>
    <x v="0"/>
    <n v="8"/>
    <s v="C"/>
    <s v="Science"/>
    <n v="71"/>
    <n v="64"/>
    <s v="Bhubaneswar"/>
    <s v="B"/>
    <s v="Pass"/>
  </r>
  <r>
    <s v="S0715"/>
    <s v="Aditya Mohanty"/>
    <x v="0"/>
    <n v="8"/>
    <s v="A"/>
    <s v="English"/>
    <n v="81"/>
    <n v="92"/>
    <s v="Rourkela"/>
    <s v="A"/>
    <s v="Pass"/>
  </r>
  <r>
    <s v="S0716"/>
    <s v="Sneha Sahoo"/>
    <x v="0"/>
    <n v="7"/>
    <s v="B"/>
    <s v="English"/>
    <n v="73"/>
    <n v="77"/>
    <s v="Bhubaneswar"/>
    <s v="B"/>
    <s v="Pass"/>
  </r>
  <r>
    <s v="S0717"/>
    <s v="Ananya Mohanty"/>
    <x v="1"/>
    <n v="9"/>
    <s v="B"/>
    <s v="History"/>
    <n v="40"/>
    <n v="95"/>
    <s v="Balasore"/>
    <s v="F"/>
    <s v="Pass"/>
  </r>
  <r>
    <s v="S0718"/>
    <s v="Ananya Nayak"/>
    <x v="1"/>
    <n v="12"/>
    <s v="A"/>
    <s v="English"/>
    <n v="78"/>
    <n v="82"/>
    <s v="Balasore"/>
    <s v="B"/>
    <s v="Pass"/>
  </r>
  <r>
    <s v="S0719"/>
    <s v="Aditya Mohanty"/>
    <x v="0"/>
    <n v="10"/>
    <s v="C"/>
    <s v="Science"/>
    <n v="97"/>
    <n v="96"/>
    <s v="Angul"/>
    <s v="A+"/>
    <s v="Pass"/>
  </r>
  <r>
    <s v="S0720"/>
    <s v="Sanjay Patra"/>
    <x v="1"/>
    <n v="6"/>
    <s v="B"/>
    <s v="Math"/>
    <n v="92"/>
    <n v="79"/>
    <s v="Puri"/>
    <s v="A+"/>
    <s v="Pass"/>
  </r>
  <r>
    <s v="S0721"/>
    <s v="Kiran Das"/>
    <x v="0"/>
    <n v="8"/>
    <s v="C"/>
    <s v="English"/>
    <n v="86"/>
    <n v="87"/>
    <s v="Balasore"/>
    <s v="A"/>
    <s v="Pass"/>
  </r>
  <r>
    <s v="S0722"/>
    <s v="Ananya Patra"/>
    <x v="0"/>
    <n v="11"/>
    <s v="B"/>
    <s v="Geography"/>
    <n v="74"/>
    <n v="61"/>
    <s v="Puri"/>
    <s v="B"/>
    <s v="Pass"/>
  </r>
  <r>
    <s v="S0723"/>
    <s v="Kiran Kumar"/>
    <x v="0"/>
    <n v="10"/>
    <s v="A"/>
    <s v="Science"/>
    <n v="51"/>
    <n v="64"/>
    <s v="Cuttack"/>
    <s v="F"/>
    <s v="Pass"/>
  </r>
  <r>
    <s v="S0724"/>
    <s v="Rohit Patra"/>
    <x v="1"/>
    <n v="7"/>
    <s v="B"/>
    <s v="Math"/>
    <n v="35"/>
    <n v="64"/>
    <s v="Angul"/>
    <s v="F"/>
    <s v="Pass"/>
  </r>
  <r>
    <s v="S0725"/>
    <s v="Kiran Kumar"/>
    <x v="1"/>
    <n v="11"/>
    <s v="C"/>
    <s v="History"/>
    <n v="98"/>
    <n v="74"/>
    <s v="Sambalpur"/>
    <s v="A+"/>
    <s v="Pass"/>
  </r>
  <r>
    <s v="S0726"/>
    <s v="Vivaan Patra"/>
    <x v="1"/>
    <n v="12"/>
    <s v="B"/>
    <s v="History"/>
    <n v="50"/>
    <n v="75"/>
    <s v="Angul"/>
    <s v="F"/>
    <s v="Pass"/>
  </r>
  <r>
    <s v="S0727"/>
    <s v="Aarav Sahoo"/>
    <x v="0"/>
    <n v="11"/>
    <s v="A"/>
    <s v="Science"/>
    <n v="70"/>
    <n v="93"/>
    <s v="Bhubaneswar"/>
    <s v="B"/>
    <s v="Pass"/>
  </r>
  <r>
    <s v="S0728"/>
    <s v="Sneha Patra"/>
    <x v="0"/>
    <n v="8"/>
    <s v="A"/>
    <s v="Math"/>
    <n v="35"/>
    <n v="60"/>
    <s v="Cuttack"/>
    <s v="F"/>
    <s v="Pass"/>
  </r>
  <r>
    <s v="S0729"/>
    <s v="Kiran Das"/>
    <x v="1"/>
    <n v="9"/>
    <s v="B"/>
    <s v="Science"/>
    <n v="38"/>
    <n v="66"/>
    <s v="Angul"/>
    <s v="F"/>
    <s v="Pass"/>
  </r>
  <r>
    <s v="S0730"/>
    <s v="Sneha Nayak"/>
    <x v="0"/>
    <n v="9"/>
    <s v="C"/>
    <s v="English"/>
    <n v="79"/>
    <n v="76"/>
    <s v="Puri"/>
    <s v="B"/>
    <s v="Pass"/>
  </r>
  <r>
    <s v="S0731"/>
    <s v="Aarav Patra"/>
    <x v="1"/>
    <n v="9"/>
    <s v="A"/>
    <s v="History"/>
    <n v="77"/>
    <n v="80"/>
    <s v="Balasore"/>
    <s v="B"/>
    <s v="Pass"/>
  </r>
  <r>
    <s v="S0732"/>
    <s v="Priya Kumar"/>
    <x v="0"/>
    <n v="9"/>
    <s v="B"/>
    <s v="English"/>
    <n v="71"/>
    <n v="69"/>
    <s v="Angul"/>
    <s v="B"/>
    <s v="Pass"/>
  </r>
  <r>
    <s v="S0733"/>
    <s v="Priya Kumar"/>
    <x v="1"/>
    <n v="8"/>
    <s v="B"/>
    <s v="Computer"/>
    <n v="84"/>
    <n v="74"/>
    <s v="Bhubaneswar"/>
    <s v="A"/>
    <s v="Pass"/>
  </r>
  <r>
    <s v="S0734"/>
    <s v="Aarav Patra"/>
    <x v="1"/>
    <n v="10"/>
    <s v="A"/>
    <s v="Computer"/>
    <n v="93"/>
    <n v="82"/>
    <s v="Angul"/>
    <s v="A+"/>
    <s v="Pass"/>
  </r>
  <r>
    <s v="S0735"/>
    <s v="Priya Das"/>
    <x v="1"/>
    <n v="12"/>
    <s v="C"/>
    <s v="Science"/>
    <n v="87"/>
    <n v="87"/>
    <s v="Angul"/>
    <s v="A"/>
    <s v="Pass"/>
  </r>
  <r>
    <s v="S0736"/>
    <s v="Aditya Mohanty"/>
    <x v="1"/>
    <n v="8"/>
    <s v="B"/>
    <s v="Computer"/>
    <n v="40"/>
    <n v="69"/>
    <s v="Rourkela"/>
    <s v="F"/>
    <s v="Pass"/>
  </r>
  <r>
    <s v="S0737"/>
    <s v="Ananya Patra"/>
    <x v="0"/>
    <n v="8"/>
    <s v="B"/>
    <s v="History"/>
    <n v="45"/>
    <n v="88"/>
    <s v="Rourkela"/>
    <s v="F"/>
    <s v="Pass"/>
  </r>
  <r>
    <s v="S0738"/>
    <s v="Priya Kumar"/>
    <x v="0"/>
    <n v="9"/>
    <s v="B"/>
    <s v="History"/>
    <n v="75"/>
    <n v="87"/>
    <s v="Bhubaneswar"/>
    <s v="B"/>
    <s v="Pass"/>
  </r>
  <r>
    <s v="S0739"/>
    <s v="Amit Sahoo"/>
    <x v="1"/>
    <n v="10"/>
    <s v="A"/>
    <s v="Computer"/>
    <n v="43"/>
    <n v="75"/>
    <s v="Balasore"/>
    <s v="F"/>
    <s v="Pass"/>
  </r>
  <r>
    <s v="S0740"/>
    <s v="Amit Kumar"/>
    <x v="0"/>
    <n v="9"/>
    <s v="C"/>
    <s v="Computer"/>
    <n v="50"/>
    <n v="83"/>
    <s v="Cuttack"/>
    <s v="F"/>
    <s v="Pass"/>
  </r>
  <r>
    <s v="S0741"/>
    <s v="Aditya Sahoo"/>
    <x v="1"/>
    <n v="9"/>
    <s v="B"/>
    <s v="Computer"/>
    <n v="53"/>
    <n v="84"/>
    <s v="Balasore"/>
    <s v="F"/>
    <s v="Pass"/>
  </r>
  <r>
    <s v="S0742"/>
    <s v="Vivaan Nayak"/>
    <x v="1"/>
    <n v="11"/>
    <s v="A"/>
    <s v="English"/>
    <n v="100"/>
    <n v="94"/>
    <s v="Sambalpur"/>
    <s v="A+"/>
    <s v="Pass"/>
  </r>
  <r>
    <s v="S0743"/>
    <s v="Aditya Das"/>
    <x v="1"/>
    <n v="12"/>
    <s v="A"/>
    <s v="History"/>
    <n v="46"/>
    <n v="70"/>
    <s v="Sambalpur"/>
    <s v="F"/>
    <s v="Pass"/>
  </r>
  <r>
    <s v="S0744"/>
    <s v="Ananya Sahoo"/>
    <x v="1"/>
    <n v="9"/>
    <s v="B"/>
    <s v="Math"/>
    <n v="77"/>
    <n v="87"/>
    <s v="Angul"/>
    <s v="B"/>
    <s v="Pass"/>
  </r>
  <r>
    <s v="S0745"/>
    <s v="Kavya Das"/>
    <x v="0"/>
    <n v="12"/>
    <s v="A"/>
    <s v="English"/>
    <n v="45"/>
    <n v="87"/>
    <s v="Rourkela"/>
    <s v="F"/>
    <s v="Pass"/>
  </r>
  <r>
    <s v="S0746"/>
    <s v="Sohan Sahoo"/>
    <x v="0"/>
    <n v="10"/>
    <s v="C"/>
    <s v="Math"/>
    <n v="92"/>
    <n v="84"/>
    <s v="Rourkela"/>
    <s v="A+"/>
    <s v="Pass"/>
  </r>
  <r>
    <s v="S0747"/>
    <s v="Sneha Patra"/>
    <x v="0"/>
    <n v="9"/>
    <s v="C"/>
    <s v="Computer"/>
    <n v="68"/>
    <n v="90"/>
    <s v="Bhubaneswar"/>
    <s v="C"/>
    <s v="Pass"/>
  </r>
  <r>
    <s v="S0748"/>
    <s v="Rohit Patra"/>
    <x v="0"/>
    <n v="10"/>
    <s v="B"/>
    <s v="English"/>
    <n v="91"/>
    <n v="63"/>
    <s v="Bhubaneswar"/>
    <s v="A+"/>
    <s v="Pass"/>
  </r>
  <r>
    <s v="S0749"/>
    <s v="Rahul Das"/>
    <x v="1"/>
    <n v="10"/>
    <s v="C"/>
    <s v="History"/>
    <n v="60"/>
    <n v="65"/>
    <s v="Sambalpur"/>
    <s v="C"/>
    <s v="Pass"/>
  </r>
  <r>
    <s v="S0750"/>
    <s v="Sanjay Das"/>
    <x v="1"/>
    <n v="11"/>
    <s v="B"/>
    <s v="Geography"/>
    <n v="59"/>
    <n v="85"/>
    <s v="Cuttack"/>
    <s v="F"/>
    <s v="Pass"/>
  </r>
  <r>
    <s v="S0751"/>
    <s v="Rohit Mohanty"/>
    <x v="0"/>
    <n v="7"/>
    <s v="A"/>
    <s v="Math"/>
    <n v="63"/>
    <n v="97"/>
    <s v="Cuttack"/>
    <s v="C"/>
    <s v="Pass"/>
  </r>
  <r>
    <s v="S0752"/>
    <s v="Ananya Patra"/>
    <x v="1"/>
    <n v="7"/>
    <s v="C"/>
    <s v="History"/>
    <n v="83"/>
    <n v="61"/>
    <s v="Cuttack"/>
    <s v="A"/>
    <s v="Pass"/>
  </r>
  <r>
    <s v="S0753"/>
    <s v="Kavya Sahoo"/>
    <x v="1"/>
    <n v="8"/>
    <s v="C"/>
    <s v="Science"/>
    <n v="46"/>
    <n v="79"/>
    <s v="Sambalpur"/>
    <s v="F"/>
    <s v="Pass"/>
  </r>
  <r>
    <s v="S0754"/>
    <s v="Kavya Mohanty"/>
    <x v="1"/>
    <n v="12"/>
    <s v="B"/>
    <s v="Math"/>
    <n v="79"/>
    <n v="100"/>
    <s v="Balasore"/>
    <s v="B"/>
    <s v="Pass"/>
  </r>
  <r>
    <s v="S0755"/>
    <s v="Amit Patra"/>
    <x v="1"/>
    <n v="7"/>
    <s v="B"/>
    <s v="Science"/>
    <n v="82"/>
    <n v="91"/>
    <s v="Sambalpur"/>
    <s v="A"/>
    <s v="Pass"/>
  </r>
  <r>
    <s v="S0756"/>
    <s v="Sanjay Kumar"/>
    <x v="1"/>
    <n v="9"/>
    <s v="B"/>
    <s v="Science"/>
    <n v="63"/>
    <n v="90"/>
    <s v="Rourkela"/>
    <s v="C"/>
    <s v="Pass"/>
  </r>
  <r>
    <s v="S0757"/>
    <s v="Sneha Patra"/>
    <x v="1"/>
    <n v="7"/>
    <s v="C"/>
    <s v="Science"/>
    <n v="78"/>
    <n v="83"/>
    <s v="Sambalpur"/>
    <s v="B"/>
    <s v="Pass"/>
  </r>
  <r>
    <s v="S0758"/>
    <s v="Neha Kumar"/>
    <x v="0"/>
    <n v="10"/>
    <s v="C"/>
    <s v="Science"/>
    <n v="99"/>
    <n v="68"/>
    <s v="Angul"/>
    <s v="A+"/>
    <s v="Pass"/>
  </r>
  <r>
    <s v="S0759"/>
    <s v="Pooja Sahoo"/>
    <x v="0"/>
    <n v="11"/>
    <s v="C"/>
    <s v="Geography"/>
    <n v="44"/>
    <n v="81"/>
    <s v="Angul"/>
    <s v="F"/>
    <s v="Pass"/>
  </r>
  <r>
    <s v="S0760"/>
    <s v="Aditya Mohanty"/>
    <x v="1"/>
    <n v="6"/>
    <s v="B"/>
    <s v="Math"/>
    <n v="58"/>
    <n v="66"/>
    <s v="Sambalpur"/>
    <s v="F"/>
    <s v="Pass"/>
  </r>
  <r>
    <s v="S0761"/>
    <s v="Ananya Sahoo"/>
    <x v="1"/>
    <n v="10"/>
    <s v="A"/>
    <s v="Science"/>
    <n v="54"/>
    <n v="79"/>
    <s v="Balasore"/>
    <s v="F"/>
    <s v="Pass"/>
  </r>
  <r>
    <s v="S0762"/>
    <s v="Kavya Kumar"/>
    <x v="1"/>
    <n v="9"/>
    <s v="A"/>
    <s v="History"/>
    <n v="79"/>
    <n v="87"/>
    <s v="Rourkela"/>
    <s v="B"/>
    <s v="Pass"/>
  </r>
  <r>
    <s v="S0763"/>
    <s v="Rohit Patra"/>
    <x v="1"/>
    <n v="6"/>
    <s v="A"/>
    <s v="Computer"/>
    <n v="40"/>
    <n v="100"/>
    <s v="Angul"/>
    <s v="F"/>
    <s v="Pass"/>
  </r>
  <r>
    <s v="S0764"/>
    <s v="Ananya Kumar"/>
    <x v="1"/>
    <n v="11"/>
    <s v="C"/>
    <s v="Science"/>
    <n v="42"/>
    <n v="87"/>
    <s v="Balasore"/>
    <s v="F"/>
    <s v="Pass"/>
  </r>
  <r>
    <s v="S0765"/>
    <s v="Amit Nayak"/>
    <x v="1"/>
    <n v="11"/>
    <s v="B"/>
    <s v="Science"/>
    <n v="100"/>
    <n v="69"/>
    <s v="Bhubaneswar"/>
    <s v="A+"/>
    <s v="Pass"/>
  </r>
  <r>
    <s v="S0766"/>
    <s v="Amit Sahoo"/>
    <x v="1"/>
    <n v="11"/>
    <s v="B"/>
    <s v="Math"/>
    <n v="67"/>
    <n v="76"/>
    <s v="Balasore"/>
    <s v="C"/>
    <s v="Pass"/>
  </r>
  <r>
    <s v="S0767"/>
    <s v="Aarav Patra"/>
    <x v="0"/>
    <n v="7"/>
    <s v="C"/>
    <s v="Science"/>
    <n v="99"/>
    <n v="67"/>
    <s v="Sambalpur"/>
    <s v="A+"/>
    <s v="Pass"/>
  </r>
  <r>
    <s v="S0768"/>
    <s v="Pooja Patra"/>
    <x v="0"/>
    <n v="9"/>
    <s v="B"/>
    <s v="Math"/>
    <n v="65"/>
    <n v="98"/>
    <s v="Bhubaneswar"/>
    <s v="C"/>
    <s v="Pass"/>
  </r>
  <r>
    <s v="S0769"/>
    <s v="Rohit Mohanty"/>
    <x v="1"/>
    <n v="10"/>
    <s v="C"/>
    <s v="Computer"/>
    <n v="66"/>
    <n v="83"/>
    <s v="Balasore"/>
    <s v="C"/>
    <s v="Pass"/>
  </r>
  <r>
    <s v="S0770"/>
    <s v="Sneha Patra"/>
    <x v="1"/>
    <n v="9"/>
    <s v="B"/>
    <s v="English"/>
    <n v="83"/>
    <n v="75"/>
    <s v="Bhubaneswar"/>
    <s v="A"/>
    <s v="Pass"/>
  </r>
  <r>
    <s v="S0771"/>
    <s v="Vivaan Patra"/>
    <x v="1"/>
    <n v="10"/>
    <s v="C"/>
    <s v="Geography"/>
    <n v="78"/>
    <n v="100"/>
    <s v="Cuttack"/>
    <s v="B"/>
    <s v="Pass"/>
  </r>
  <r>
    <s v="S0772"/>
    <s v="Amit Kumar"/>
    <x v="0"/>
    <n v="7"/>
    <s v="B"/>
    <s v="Computer"/>
    <n v="48"/>
    <n v="77"/>
    <s v="Sambalpur"/>
    <s v="F"/>
    <s v="Pass"/>
  </r>
  <r>
    <s v="S0773"/>
    <s v="Pooja Kumar"/>
    <x v="1"/>
    <n v="10"/>
    <s v="A"/>
    <s v="Computer"/>
    <n v="50"/>
    <n v="71"/>
    <s v="Sambalpur"/>
    <s v="F"/>
    <s v="Pass"/>
  </r>
  <r>
    <s v="S0774"/>
    <s v="Aarav Patra"/>
    <x v="0"/>
    <n v="10"/>
    <s v="A"/>
    <s v="Math"/>
    <n v="82"/>
    <n v="62"/>
    <s v="Angul"/>
    <s v="A"/>
    <s v="Pass"/>
  </r>
  <r>
    <s v="S0775"/>
    <s v="Riya Das"/>
    <x v="0"/>
    <n v="8"/>
    <s v="B"/>
    <s v="Science"/>
    <n v="57"/>
    <n v="98"/>
    <s v="Bhubaneswar"/>
    <s v="F"/>
    <s v="Pass"/>
  </r>
  <r>
    <s v="S0776"/>
    <s v="Kavya Kumar"/>
    <x v="1"/>
    <n v="12"/>
    <s v="A"/>
    <s v="History"/>
    <n v="44"/>
    <n v="86"/>
    <s v="Balasore"/>
    <s v="F"/>
    <s v="Pass"/>
  </r>
  <r>
    <s v="S0777"/>
    <s v="Rohit Kumar"/>
    <x v="0"/>
    <n v="11"/>
    <s v="B"/>
    <s v="Science"/>
    <n v="36"/>
    <n v="67"/>
    <s v="Rourkela"/>
    <s v="F"/>
    <s v="Pass"/>
  </r>
  <r>
    <s v="S0778"/>
    <s v="Ananya Patra"/>
    <x v="1"/>
    <n v="10"/>
    <s v="C"/>
    <s v="Science"/>
    <n v="92"/>
    <n v="84"/>
    <s v="Balasore"/>
    <s v="A+"/>
    <s v="Pass"/>
  </r>
  <r>
    <s v="S0779"/>
    <s v="Pooja Mohanty"/>
    <x v="1"/>
    <n v="6"/>
    <s v="A"/>
    <s v="Computer"/>
    <n v="58"/>
    <n v="73"/>
    <s v="Bhubaneswar"/>
    <s v="F"/>
    <s v="Pass"/>
  </r>
  <r>
    <s v="S0780"/>
    <s v="Riya Patra"/>
    <x v="0"/>
    <n v="10"/>
    <s v="C"/>
    <s v="Science"/>
    <n v="46"/>
    <n v="97"/>
    <s v="Angul"/>
    <s v="F"/>
    <s v="Pass"/>
  </r>
  <r>
    <s v="S0781"/>
    <s v="Aditya Sahoo"/>
    <x v="1"/>
    <n v="8"/>
    <s v="C"/>
    <s v="Geography"/>
    <n v="55"/>
    <n v="64"/>
    <s v="Cuttack"/>
    <s v="F"/>
    <s v="Pass"/>
  </r>
  <r>
    <s v="S0782"/>
    <s v="Neha Nayak"/>
    <x v="1"/>
    <n v="8"/>
    <s v="C"/>
    <s v="Geography"/>
    <n v="85"/>
    <n v="92"/>
    <s v="Sambalpur"/>
    <s v="A"/>
    <s v="Pass"/>
  </r>
  <r>
    <s v="S0783"/>
    <s v="Priya Das"/>
    <x v="1"/>
    <n v="8"/>
    <s v="A"/>
    <s v="English"/>
    <n v="59"/>
    <n v="61"/>
    <s v="Puri"/>
    <s v="F"/>
    <s v="Pass"/>
  </r>
  <r>
    <s v="S0784"/>
    <s v="Rahul Kumar"/>
    <x v="1"/>
    <n v="12"/>
    <s v="A"/>
    <s v="English"/>
    <n v="75"/>
    <n v="82"/>
    <s v="Rourkela"/>
    <s v="B"/>
    <s v="Pass"/>
  </r>
  <r>
    <s v="S0785"/>
    <s v="Pooja Mohanty"/>
    <x v="0"/>
    <n v="7"/>
    <s v="B"/>
    <s v="Computer"/>
    <n v="46"/>
    <n v="88"/>
    <s v="Cuttack"/>
    <s v="F"/>
    <s v="Pass"/>
  </r>
  <r>
    <s v="S0786"/>
    <s v="Riya Patra"/>
    <x v="0"/>
    <n v="9"/>
    <s v="B"/>
    <s v="Math"/>
    <n v="55"/>
    <n v="100"/>
    <s v="Angul"/>
    <s v="F"/>
    <s v="Pass"/>
  </r>
  <r>
    <s v="S0787"/>
    <s v="Ananya Sahoo"/>
    <x v="0"/>
    <n v="6"/>
    <s v="A"/>
    <s v="Math"/>
    <n v="97"/>
    <n v="84"/>
    <s v="Cuttack"/>
    <s v="A+"/>
    <s v="Pass"/>
  </r>
  <r>
    <s v="S0788"/>
    <s v="Ananya Mohanty"/>
    <x v="1"/>
    <n v="10"/>
    <s v="C"/>
    <s v="History"/>
    <n v="77"/>
    <n v="67"/>
    <s v="Angul"/>
    <s v="B"/>
    <s v="Pass"/>
  </r>
  <r>
    <s v="S0789"/>
    <s v="Sanjay Sahoo"/>
    <x v="1"/>
    <n v="8"/>
    <s v="C"/>
    <s v="Geography"/>
    <n v="92"/>
    <n v="84"/>
    <s v="Bhubaneswar"/>
    <s v="A+"/>
    <s v="Pass"/>
  </r>
  <r>
    <s v="S0790"/>
    <s v="Rahul Mohanty"/>
    <x v="1"/>
    <n v="12"/>
    <s v="A"/>
    <s v="Science"/>
    <n v="62"/>
    <n v="87"/>
    <s v="Bhubaneswar"/>
    <s v="C"/>
    <s v="Pass"/>
  </r>
  <r>
    <s v="S0791"/>
    <s v="Riya Das"/>
    <x v="1"/>
    <n v="6"/>
    <s v="A"/>
    <s v="English"/>
    <n v="91"/>
    <n v="69"/>
    <s v="Puri"/>
    <s v="A+"/>
    <s v="Pass"/>
  </r>
  <r>
    <s v="S0792"/>
    <s v="Priya Nayak"/>
    <x v="0"/>
    <n v="11"/>
    <s v="A"/>
    <s v="Geography"/>
    <n v="55"/>
    <n v="73"/>
    <s v="Rourkela"/>
    <s v="F"/>
    <s v="Pass"/>
  </r>
  <r>
    <s v="S0793"/>
    <s v="Sanjay Mohanty"/>
    <x v="0"/>
    <n v="10"/>
    <s v="B"/>
    <s v="Geography"/>
    <n v="47"/>
    <n v="66"/>
    <s v="Bhubaneswar"/>
    <s v="F"/>
    <s v="Pass"/>
  </r>
  <r>
    <s v="S0794"/>
    <s v="Ananya Sahoo"/>
    <x v="0"/>
    <n v="10"/>
    <s v="C"/>
    <s v="English"/>
    <n v="61"/>
    <n v="84"/>
    <s v="Rourkela"/>
    <s v="C"/>
    <s v="Pass"/>
  </r>
  <r>
    <s v="S0795"/>
    <s v="Riya Sahoo"/>
    <x v="1"/>
    <n v="12"/>
    <s v="B"/>
    <s v="Geography"/>
    <n v="80"/>
    <n v="62"/>
    <s v="Balasore"/>
    <s v="A"/>
    <s v="Pass"/>
  </r>
  <r>
    <s v="S0796"/>
    <s v="Riya Mohanty"/>
    <x v="0"/>
    <n v="8"/>
    <s v="B"/>
    <s v="Geography"/>
    <n v="100"/>
    <n v="70"/>
    <s v="Puri"/>
    <s v="A+"/>
    <s v="Pass"/>
  </r>
  <r>
    <s v="S0797"/>
    <s v="Rohit Mohanty"/>
    <x v="0"/>
    <n v="11"/>
    <s v="C"/>
    <s v="Computer"/>
    <n v="89"/>
    <n v="70"/>
    <s v="Balasore"/>
    <s v="A"/>
    <s v="Pass"/>
  </r>
  <r>
    <s v="S0798"/>
    <s v="Kavya Patra"/>
    <x v="1"/>
    <n v="12"/>
    <s v="C"/>
    <s v="English"/>
    <n v="83"/>
    <n v="65"/>
    <s v="Balasore"/>
    <s v="A"/>
    <s v="Pass"/>
  </r>
  <r>
    <s v="S0799"/>
    <s v="Amit Nayak"/>
    <x v="1"/>
    <n v="6"/>
    <s v="B"/>
    <s v="English"/>
    <n v="82"/>
    <n v="95"/>
    <s v="Angul"/>
    <s v="A"/>
    <s v="Pass"/>
  </r>
  <r>
    <s v="S0800"/>
    <s v="Priya Das"/>
    <x v="1"/>
    <n v="6"/>
    <s v="B"/>
    <s v="History"/>
    <n v="35"/>
    <n v="97"/>
    <s v="Balasore"/>
    <s v="F"/>
    <s v="Pass"/>
  </r>
  <r>
    <s v="S0801"/>
    <s v="Priya Mohanty"/>
    <x v="1"/>
    <n v="9"/>
    <s v="C"/>
    <s v="Computer"/>
    <n v="89"/>
    <n v="100"/>
    <s v="Bhubaneswar"/>
    <s v="A"/>
    <s v="Pass"/>
  </r>
  <r>
    <s v="S0802"/>
    <s v="Aarav Sahoo"/>
    <x v="1"/>
    <n v="8"/>
    <s v="C"/>
    <s v="Science"/>
    <n v="86"/>
    <n v="83"/>
    <s v="Bhubaneswar"/>
    <s v="A"/>
    <s v="Pass"/>
  </r>
  <r>
    <s v="S0803"/>
    <s v="Rohit Patra"/>
    <x v="0"/>
    <n v="9"/>
    <s v="A"/>
    <s v="Computer"/>
    <n v="35"/>
    <n v="91"/>
    <s v="Balasore"/>
    <s v="F"/>
    <s v="Pass"/>
  </r>
  <r>
    <s v="S0804"/>
    <s v="Sanjay Mohanty"/>
    <x v="0"/>
    <n v="11"/>
    <s v="A"/>
    <s v="Math"/>
    <n v="49"/>
    <n v="65"/>
    <s v="Sambalpur"/>
    <s v="F"/>
    <s v="Pass"/>
  </r>
  <r>
    <s v="S0805"/>
    <s v="Aarav Das"/>
    <x v="0"/>
    <n v="6"/>
    <s v="A"/>
    <s v="Math"/>
    <n v="100"/>
    <n v="98"/>
    <s v="Puri"/>
    <s v="A+"/>
    <s v="Pass"/>
  </r>
  <r>
    <s v="S0806"/>
    <s v="Rahul Das"/>
    <x v="0"/>
    <n v="10"/>
    <s v="C"/>
    <s v="Computer"/>
    <n v="53"/>
    <n v="97"/>
    <s v="Bhubaneswar"/>
    <s v="F"/>
    <s v="Pass"/>
  </r>
  <r>
    <s v="S0807"/>
    <s v="Rahul Nayak"/>
    <x v="0"/>
    <n v="8"/>
    <s v="B"/>
    <s v="Computer"/>
    <n v="51"/>
    <n v="95"/>
    <s v="Balasore"/>
    <s v="F"/>
    <s v="Pass"/>
  </r>
  <r>
    <s v="S0808"/>
    <s v="Sohan Kumar"/>
    <x v="0"/>
    <n v="9"/>
    <s v="B"/>
    <s v="Geography"/>
    <n v="68"/>
    <n v="89"/>
    <s v="Sambalpur"/>
    <s v="C"/>
    <s v="Pass"/>
  </r>
  <r>
    <s v="S0809"/>
    <s v="Neha Mohanty"/>
    <x v="0"/>
    <n v="8"/>
    <s v="C"/>
    <s v="Math"/>
    <n v="53"/>
    <n v="70"/>
    <s v="Sambalpur"/>
    <s v="F"/>
    <s v="Pass"/>
  </r>
  <r>
    <s v="S0810"/>
    <s v="Riya Kumar"/>
    <x v="1"/>
    <n v="8"/>
    <s v="B"/>
    <s v="English"/>
    <n v="62"/>
    <n v="90"/>
    <s v="Cuttack"/>
    <s v="C"/>
    <s v="Pass"/>
  </r>
  <r>
    <s v="S0811"/>
    <s v="Sanjay Kumar"/>
    <x v="1"/>
    <n v="10"/>
    <s v="A"/>
    <s v="English"/>
    <n v="48"/>
    <n v="94"/>
    <s v="Cuttack"/>
    <s v="F"/>
    <s v="Pass"/>
  </r>
  <r>
    <s v="S0812"/>
    <s v="Priya Nayak"/>
    <x v="1"/>
    <n v="8"/>
    <s v="A"/>
    <s v="English"/>
    <n v="66"/>
    <n v="79"/>
    <s v="Rourkela"/>
    <s v="C"/>
    <s v="Pass"/>
  </r>
  <r>
    <s v="S0813"/>
    <s v="Rohit Mohanty"/>
    <x v="1"/>
    <n v="10"/>
    <s v="A"/>
    <s v="English"/>
    <n v="81"/>
    <n v="76"/>
    <s v="Balasore"/>
    <s v="A"/>
    <s v="Pass"/>
  </r>
  <r>
    <s v="S0814"/>
    <s v="Neha Kumar"/>
    <x v="0"/>
    <n v="12"/>
    <s v="A"/>
    <s v="History"/>
    <n v="30"/>
    <n v="79"/>
    <s v="Sambalpur"/>
    <s v="F"/>
    <s v="Fail"/>
  </r>
  <r>
    <s v="S0815"/>
    <s v="Ananya Nayak"/>
    <x v="1"/>
    <n v="6"/>
    <s v="A"/>
    <s v="History"/>
    <n v="36"/>
    <n v="71"/>
    <s v="Puri"/>
    <s v="F"/>
    <s v="Pass"/>
  </r>
  <r>
    <s v="S0816"/>
    <s v="Kavya Mohanty"/>
    <x v="0"/>
    <n v="11"/>
    <s v="A"/>
    <s v="History"/>
    <n v="94"/>
    <n v="92"/>
    <s v="Puri"/>
    <s v="A+"/>
    <s v="Pass"/>
  </r>
  <r>
    <s v="S0817"/>
    <s v="Vivaan Kumar"/>
    <x v="0"/>
    <n v="12"/>
    <s v="C"/>
    <s v="History"/>
    <n v="23"/>
    <n v="81"/>
    <s v="Balasore"/>
    <s v="F"/>
    <s v="Fail"/>
  </r>
  <r>
    <s v="S0818"/>
    <s v="Priya Das"/>
    <x v="1"/>
    <n v="9"/>
    <s v="A"/>
    <s v="English"/>
    <n v="98"/>
    <n v="92"/>
    <s v="Balasore"/>
    <s v="A+"/>
    <s v="Pass"/>
  </r>
  <r>
    <s v="S0819"/>
    <s v="Rahul Sahoo"/>
    <x v="0"/>
    <n v="6"/>
    <s v="B"/>
    <s v="English"/>
    <n v="68"/>
    <n v="90"/>
    <s v="Sambalpur"/>
    <s v="C"/>
    <s v="Pass"/>
  </r>
  <r>
    <s v="S0820"/>
    <s v="Riya Sahoo"/>
    <x v="0"/>
    <n v="8"/>
    <s v="A"/>
    <s v="Geography"/>
    <n v="81"/>
    <n v="83"/>
    <s v="Bhubaneswar"/>
    <s v="A"/>
    <s v="Pass"/>
  </r>
  <r>
    <s v="S0821"/>
    <s v="Amit Nayak"/>
    <x v="1"/>
    <n v="12"/>
    <s v="B"/>
    <s v="English"/>
    <n v="80"/>
    <n v="82"/>
    <s v="Rourkela"/>
    <s v="A"/>
    <s v="Pass"/>
  </r>
  <r>
    <s v="S0822"/>
    <s v="Sneha Das"/>
    <x v="0"/>
    <n v="7"/>
    <s v="B"/>
    <s v="Science"/>
    <n v="66"/>
    <n v="81"/>
    <s v="Puri"/>
    <s v="C"/>
    <s v="Pass"/>
  </r>
  <r>
    <s v="S0823"/>
    <s v="Kiran Nayak"/>
    <x v="0"/>
    <n v="7"/>
    <s v="B"/>
    <s v="History"/>
    <n v="93"/>
    <n v="88"/>
    <s v="Puri"/>
    <s v="A+"/>
    <s v="Pass"/>
  </r>
  <r>
    <s v="S0824"/>
    <s v="Sohan Das"/>
    <x v="1"/>
    <n v="10"/>
    <s v="A"/>
    <s v="History"/>
    <n v="49"/>
    <n v="83"/>
    <s v="Cuttack"/>
    <s v="F"/>
    <s v="Pass"/>
  </r>
  <r>
    <s v="S0825"/>
    <s v="Ananya Nayak"/>
    <x v="0"/>
    <n v="9"/>
    <s v="A"/>
    <s v="History"/>
    <n v="46"/>
    <n v="99"/>
    <s v="Angul"/>
    <s v="F"/>
    <s v="Pass"/>
  </r>
  <r>
    <s v="S0826"/>
    <s v="Neha Sahoo"/>
    <x v="1"/>
    <n v="8"/>
    <s v="B"/>
    <s v="Science"/>
    <n v="42"/>
    <n v="93"/>
    <s v="Sambalpur"/>
    <s v="F"/>
    <s v="Pass"/>
  </r>
  <r>
    <s v="S0827"/>
    <s v="Sneha Kumar"/>
    <x v="1"/>
    <n v="6"/>
    <s v="A"/>
    <s v="English"/>
    <n v="90"/>
    <n v="100"/>
    <s v="Angul"/>
    <s v="A+"/>
    <s v="Pass"/>
  </r>
  <r>
    <s v="S0828"/>
    <s v="Neha Patra"/>
    <x v="1"/>
    <n v="9"/>
    <s v="C"/>
    <s v="English"/>
    <n v="90"/>
    <n v="94"/>
    <s v="Balasore"/>
    <s v="A+"/>
    <s v="Pass"/>
  </r>
  <r>
    <s v="S0829"/>
    <s v="Priya Mohanty"/>
    <x v="0"/>
    <n v="12"/>
    <s v="C"/>
    <s v="Computer"/>
    <n v="46"/>
    <n v="83"/>
    <s v="Rourkela"/>
    <s v="F"/>
    <s v="Pass"/>
  </r>
  <r>
    <s v="S0830"/>
    <s v="Sohan Patra"/>
    <x v="0"/>
    <n v="6"/>
    <s v="C"/>
    <s v="Science"/>
    <n v="88"/>
    <n v="100"/>
    <s v="Bhubaneswar"/>
    <s v="A"/>
    <s v="Pass"/>
  </r>
  <r>
    <s v="S0831"/>
    <s v="Kiran Kumar"/>
    <x v="0"/>
    <n v="10"/>
    <s v="B"/>
    <s v="Math"/>
    <n v="52"/>
    <n v="89"/>
    <s v="Rourkela"/>
    <s v="F"/>
    <s v="Pass"/>
  </r>
  <r>
    <s v="S0832"/>
    <s v="Neha Nayak"/>
    <x v="0"/>
    <n v="6"/>
    <s v="B"/>
    <s v="English"/>
    <n v="100"/>
    <n v="96"/>
    <s v="Puri"/>
    <s v="A+"/>
    <s v="Pass"/>
  </r>
  <r>
    <s v="S0833"/>
    <s v="Vivaan Nayak"/>
    <x v="1"/>
    <n v="6"/>
    <s v="C"/>
    <s v="English"/>
    <n v="50"/>
    <n v="78"/>
    <s v="Puri"/>
    <s v="F"/>
    <s v="Pass"/>
  </r>
  <r>
    <s v="S0834"/>
    <s v="Vivaan Das"/>
    <x v="0"/>
    <n v="10"/>
    <s v="A"/>
    <s v="Geography"/>
    <n v="64"/>
    <n v="86"/>
    <s v="Rourkela"/>
    <s v="C"/>
    <s v="Pass"/>
  </r>
  <r>
    <s v="S0835"/>
    <s v="Rahul Nayak"/>
    <x v="1"/>
    <n v="7"/>
    <s v="C"/>
    <s v="Computer"/>
    <n v="97"/>
    <n v="86"/>
    <s v="Bhubaneswar"/>
    <s v="A+"/>
    <s v="Pass"/>
  </r>
  <r>
    <s v="S0836"/>
    <s v="Aditya Nayak"/>
    <x v="1"/>
    <n v="6"/>
    <s v="A"/>
    <s v="Math"/>
    <n v="53"/>
    <n v="90"/>
    <s v="Cuttack"/>
    <s v="F"/>
    <s v="Pass"/>
  </r>
  <r>
    <s v="S0837"/>
    <s v="Kiran Patra"/>
    <x v="0"/>
    <n v="6"/>
    <s v="B"/>
    <s v="Math"/>
    <n v="94"/>
    <n v="81"/>
    <s v="Angul"/>
    <s v="A+"/>
    <s v="Pass"/>
  </r>
  <r>
    <s v="S0838"/>
    <s v="Aditya Kumar"/>
    <x v="0"/>
    <n v="6"/>
    <s v="A"/>
    <s v="Math"/>
    <n v="95"/>
    <n v="66"/>
    <s v="Cuttack"/>
    <s v="A+"/>
    <s v="Pass"/>
  </r>
  <r>
    <s v="S0839"/>
    <s v="Pooja Patra"/>
    <x v="0"/>
    <n v="7"/>
    <s v="B"/>
    <s v="English"/>
    <n v="82"/>
    <n v="73"/>
    <s v="Rourkela"/>
    <s v="A"/>
    <s v="Pass"/>
  </r>
  <r>
    <s v="S0840"/>
    <s v="Amit Kumar"/>
    <x v="1"/>
    <n v="12"/>
    <s v="A"/>
    <s v="History"/>
    <n v="54"/>
    <n v="93"/>
    <s v="Angul"/>
    <s v="F"/>
    <s v="Pass"/>
  </r>
  <r>
    <s v="S0841"/>
    <s v="Aarav Mohanty"/>
    <x v="1"/>
    <n v="8"/>
    <s v="B"/>
    <s v="Computer"/>
    <n v="78"/>
    <n v="75"/>
    <s v="Cuttack"/>
    <s v="B"/>
    <s v="Pass"/>
  </r>
  <r>
    <s v="S0842"/>
    <s v="Priya Mohanty"/>
    <x v="0"/>
    <n v="10"/>
    <s v="A"/>
    <s v="Science"/>
    <n v="65"/>
    <n v="93"/>
    <s v="Cuttack"/>
    <s v="C"/>
    <s v="Pass"/>
  </r>
  <r>
    <s v="S0843"/>
    <s v="Kiran Patra"/>
    <x v="0"/>
    <n v="6"/>
    <s v="B"/>
    <s v="History"/>
    <n v="58"/>
    <n v="96"/>
    <s v="Puri"/>
    <s v="F"/>
    <s v="Pass"/>
  </r>
  <r>
    <s v="S0844"/>
    <s v="Priya Mohanty"/>
    <x v="1"/>
    <n v="12"/>
    <s v="C"/>
    <s v="Math"/>
    <n v="52"/>
    <n v="68"/>
    <s v="Balasore"/>
    <s v="F"/>
    <s v="Pass"/>
  </r>
  <r>
    <s v="S0845"/>
    <s v="Amit Mohanty"/>
    <x v="0"/>
    <n v="10"/>
    <s v="B"/>
    <s v="Math"/>
    <n v="63"/>
    <n v="85"/>
    <s v="Sambalpur"/>
    <s v="C"/>
    <s v="Pass"/>
  </r>
  <r>
    <s v="S0846"/>
    <s v="Priya Kumar"/>
    <x v="0"/>
    <n v="12"/>
    <s v="C"/>
    <s v="Science"/>
    <n v="74"/>
    <n v="87"/>
    <s v="Sambalpur"/>
    <s v="B"/>
    <s v="Pass"/>
  </r>
  <r>
    <s v="S0847"/>
    <s v="Pooja Das"/>
    <x v="0"/>
    <n v="7"/>
    <s v="A"/>
    <s v="Science"/>
    <n v="61"/>
    <n v="84"/>
    <s v="Cuttack"/>
    <s v="C"/>
    <s v="Pass"/>
  </r>
  <r>
    <s v="S0848"/>
    <s v="Pooja Das"/>
    <x v="0"/>
    <n v="9"/>
    <s v="B"/>
    <s v="Geography"/>
    <n v="74"/>
    <n v="88"/>
    <s v="Sambalpur"/>
    <s v="B"/>
    <s v="Pass"/>
  </r>
  <r>
    <s v="S0849"/>
    <s v="Priya Sahoo"/>
    <x v="0"/>
    <n v="10"/>
    <s v="C"/>
    <s v="English"/>
    <n v="95"/>
    <n v="67"/>
    <s v="Angul"/>
    <s v="A+"/>
    <s v="Pass"/>
  </r>
  <r>
    <s v="S0850"/>
    <s v="Priya Kumar"/>
    <x v="0"/>
    <n v="11"/>
    <s v="B"/>
    <s v="History"/>
    <n v="59"/>
    <n v="76"/>
    <s v="Puri"/>
    <s v="F"/>
    <s v="Pass"/>
  </r>
  <r>
    <s v="S0851"/>
    <s v="Ananya Nayak"/>
    <x v="1"/>
    <n v="7"/>
    <s v="A"/>
    <s v="Computer"/>
    <n v="40"/>
    <n v="65"/>
    <s v="Puri"/>
    <s v="F"/>
    <s v="Pass"/>
  </r>
  <r>
    <s v="S0852"/>
    <s v="Sanjay Patra"/>
    <x v="0"/>
    <n v="12"/>
    <s v="B"/>
    <s v="Computer"/>
    <n v="35"/>
    <n v="73"/>
    <s v="Bhubaneswar"/>
    <s v="F"/>
    <s v="Pass"/>
  </r>
  <r>
    <s v="S0853"/>
    <s v="Sneha Nayak"/>
    <x v="0"/>
    <n v="11"/>
    <s v="C"/>
    <s v="History"/>
    <n v="96"/>
    <n v="82"/>
    <s v="Puri"/>
    <s v="A+"/>
    <s v="Pass"/>
  </r>
  <r>
    <s v="S0854"/>
    <s v="Kiran Nayak"/>
    <x v="1"/>
    <n v="12"/>
    <s v="B"/>
    <s v="Math"/>
    <n v="72"/>
    <n v="97"/>
    <s v="Cuttack"/>
    <s v="B"/>
    <s v="Pass"/>
  </r>
  <r>
    <s v="S0855"/>
    <s v="Aarav Patra"/>
    <x v="1"/>
    <n v="9"/>
    <s v="B"/>
    <s v="Science"/>
    <n v="52"/>
    <n v="77"/>
    <s v="Bhubaneswar"/>
    <s v="F"/>
    <s v="Pass"/>
  </r>
  <r>
    <s v="S0856"/>
    <s v="Kavya Kumar"/>
    <x v="0"/>
    <n v="11"/>
    <s v="C"/>
    <s v="Science"/>
    <n v="41"/>
    <n v="74"/>
    <s v="Rourkela"/>
    <s v="F"/>
    <s v="Pass"/>
  </r>
  <r>
    <s v="S0857"/>
    <s v="Neha Patra"/>
    <x v="1"/>
    <n v="6"/>
    <s v="B"/>
    <s v="History"/>
    <n v="58"/>
    <n v="68"/>
    <s v="Puri"/>
    <s v="F"/>
    <s v="Pass"/>
  </r>
  <r>
    <s v="S0858"/>
    <s v="Pooja Kumar"/>
    <x v="0"/>
    <n v="8"/>
    <s v="B"/>
    <s v="Math"/>
    <n v="84"/>
    <n v="88"/>
    <s v="Bhubaneswar"/>
    <s v="A"/>
    <s v="Pass"/>
  </r>
  <r>
    <s v="S0859"/>
    <s v="Pooja Mohanty"/>
    <x v="0"/>
    <n v="9"/>
    <s v="C"/>
    <s v="Geography"/>
    <n v="53"/>
    <n v="90"/>
    <s v="Angul"/>
    <s v="F"/>
    <s v="Pass"/>
  </r>
  <r>
    <s v="S0860"/>
    <s v="Rahul Patra"/>
    <x v="0"/>
    <n v="8"/>
    <s v="A"/>
    <s v="Geography"/>
    <n v="89"/>
    <n v="86"/>
    <s v="Cuttack"/>
    <s v="A"/>
    <s v="Pass"/>
  </r>
  <r>
    <s v="S0861"/>
    <s v="Ananya Mohanty"/>
    <x v="1"/>
    <n v="10"/>
    <s v="A"/>
    <s v="Computer"/>
    <n v="53"/>
    <n v="75"/>
    <s v="Cuttack"/>
    <s v="F"/>
    <s v="Pass"/>
  </r>
  <r>
    <s v="S0862"/>
    <s v="Neha Mohanty"/>
    <x v="1"/>
    <n v="9"/>
    <s v="C"/>
    <s v="Math"/>
    <n v="68"/>
    <n v="88"/>
    <s v="Puri"/>
    <s v="C"/>
    <s v="Pass"/>
  </r>
  <r>
    <s v="S0863"/>
    <s v="Amit Sahoo"/>
    <x v="0"/>
    <n v="8"/>
    <s v="C"/>
    <s v="History"/>
    <n v="37"/>
    <n v="87"/>
    <s v="Balasore"/>
    <s v="F"/>
    <s v="Pass"/>
  </r>
  <r>
    <s v="S0864"/>
    <s v="Amit Patra"/>
    <x v="1"/>
    <n v="6"/>
    <s v="A"/>
    <s v="Science"/>
    <n v="80"/>
    <n v="82"/>
    <s v="Sambalpur"/>
    <s v="A"/>
    <s v="Pass"/>
  </r>
  <r>
    <s v="S0865"/>
    <s v="Sanjay Sahoo"/>
    <x v="1"/>
    <n v="6"/>
    <s v="A"/>
    <s v="Computer"/>
    <n v="71"/>
    <n v="93"/>
    <s v="Rourkela"/>
    <s v="B"/>
    <s v="Pass"/>
  </r>
  <r>
    <s v="S0866"/>
    <s v="Ananya Patra"/>
    <x v="0"/>
    <n v="12"/>
    <s v="A"/>
    <s v="Science"/>
    <n v="83"/>
    <n v="89"/>
    <s v="Cuttack"/>
    <s v="A"/>
    <s v="Pass"/>
  </r>
  <r>
    <s v="S0867"/>
    <s v="Sohan Nayak"/>
    <x v="0"/>
    <n v="11"/>
    <s v="C"/>
    <s v="Math"/>
    <n v="70"/>
    <n v="88"/>
    <s v="Bhubaneswar"/>
    <s v="B"/>
    <s v="Pass"/>
  </r>
  <r>
    <s v="S0868"/>
    <s v="Priya Mohanty"/>
    <x v="0"/>
    <n v="11"/>
    <s v="B"/>
    <s v="Science"/>
    <n v="75"/>
    <n v="63"/>
    <s v="Angul"/>
    <s v="B"/>
    <s v="Pass"/>
  </r>
  <r>
    <s v="S0869"/>
    <s v="Sohan Patra"/>
    <x v="0"/>
    <n v="12"/>
    <s v="A"/>
    <s v="Geography"/>
    <n v="64"/>
    <n v="74"/>
    <s v="Puri"/>
    <s v="C"/>
    <s v="Pass"/>
  </r>
  <r>
    <s v="S0870"/>
    <s v="Aditya Patra"/>
    <x v="0"/>
    <n v="7"/>
    <s v="A"/>
    <s v="Math"/>
    <n v="60"/>
    <n v="91"/>
    <s v="Puri"/>
    <s v="C"/>
    <s v="Pass"/>
  </r>
  <r>
    <s v="S0871"/>
    <s v="Sohan Sahoo"/>
    <x v="1"/>
    <n v="10"/>
    <s v="C"/>
    <s v="Geography"/>
    <n v="71"/>
    <n v="83"/>
    <s v="Balasore"/>
    <s v="B"/>
    <s v="Pass"/>
  </r>
  <r>
    <s v="S0872"/>
    <s v="Vivaan Das"/>
    <x v="0"/>
    <n v="7"/>
    <s v="B"/>
    <s v="Science"/>
    <n v="68"/>
    <n v="71"/>
    <s v="Puri"/>
    <s v="C"/>
    <s v="Pass"/>
  </r>
  <r>
    <s v="S0873"/>
    <s v="Ananya Patra"/>
    <x v="1"/>
    <n v="8"/>
    <s v="A"/>
    <s v="English"/>
    <n v="37"/>
    <n v="76"/>
    <s v="Cuttack"/>
    <s v="F"/>
    <s v="Pass"/>
  </r>
  <r>
    <s v="S0874"/>
    <s v="Aditya Patra"/>
    <x v="1"/>
    <n v="9"/>
    <s v="A"/>
    <s v="Science"/>
    <n v="69"/>
    <n v="62"/>
    <s v="Bhubaneswar"/>
    <s v="C"/>
    <s v="Pass"/>
  </r>
  <r>
    <s v="S0875"/>
    <s v="Priya Nayak"/>
    <x v="1"/>
    <n v="12"/>
    <s v="A"/>
    <s v="History"/>
    <n v="79"/>
    <n v="60"/>
    <s v="Sambalpur"/>
    <s v="B"/>
    <s v="Pass"/>
  </r>
  <r>
    <s v="S0876"/>
    <s v="Kiran Kumar"/>
    <x v="1"/>
    <n v="12"/>
    <s v="B"/>
    <s v="Science"/>
    <n v="78"/>
    <n v="91"/>
    <s v="Bhubaneswar"/>
    <s v="B"/>
    <s v="Pass"/>
  </r>
  <r>
    <s v="S0877"/>
    <s v="Sanjay Sahoo"/>
    <x v="1"/>
    <n v="8"/>
    <s v="C"/>
    <s v="History"/>
    <n v="66"/>
    <n v="67"/>
    <s v="Balasore"/>
    <s v="C"/>
    <s v="Pass"/>
  </r>
  <r>
    <s v="S0878"/>
    <s v="Rohit Kumar"/>
    <x v="0"/>
    <n v="12"/>
    <s v="B"/>
    <s v="Science"/>
    <n v="50"/>
    <n v="69"/>
    <s v="Balasore"/>
    <s v="F"/>
    <s v="Pass"/>
  </r>
  <r>
    <s v="S0879"/>
    <s v="Kiran Sahoo"/>
    <x v="0"/>
    <n v="9"/>
    <s v="C"/>
    <s v="Science"/>
    <n v="40"/>
    <n v="88"/>
    <s v="Rourkela"/>
    <s v="F"/>
    <s v="Pass"/>
  </r>
  <r>
    <s v="S0880"/>
    <s v="Aarav Nayak"/>
    <x v="0"/>
    <n v="10"/>
    <s v="B"/>
    <s v="Science"/>
    <n v="38"/>
    <n v="90"/>
    <s v="Angul"/>
    <s v="F"/>
    <s v="Pass"/>
  </r>
  <r>
    <s v="S0881"/>
    <s v="Aditya Nayak"/>
    <x v="1"/>
    <n v="7"/>
    <s v="A"/>
    <s v="Computer"/>
    <n v="100"/>
    <n v="90"/>
    <s v="Puri"/>
    <s v="A+"/>
    <s v="Pass"/>
  </r>
  <r>
    <s v="S0882"/>
    <s v="Sohan Mohanty"/>
    <x v="1"/>
    <n v="6"/>
    <s v="B"/>
    <s v="Math"/>
    <n v="71"/>
    <n v="83"/>
    <s v="Cuttack"/>
    <s v="B"/>
    <s v="Pass"/>
  </r>
  <r>
    <s v="S0883"/>
    <s v="Rohit Kumar"/>
    <x v="0"/>
    <n v="9"/>
    <s v="B"/>
    <s v="Computer"/>
    <n v="42"/>
    <n v="81"/>
    <s v="Rourkela"/>
    <s v="F"/>
    <s v="Pass"/>
  </r>
  <r>
    <s v="S0884"/>
    <s v="Aarav Patra"/>
    <x v="0"/>
    <n v="11"/>
    <s v="C"/>
    <s v="Computer"/>
    <n v="45"/>
    <n v="70"/>
    <s v="Puri"/>
    <s v="F"/>
    <s v="Pass"/>
  </r>
  <r>
    <s v="S0885"/>
    <s v="Vivaan Das"/>
    <x v="1"/>
    <n v="11"/>
    <s v="A"/>
    <s v="English"/>
    <n v="85"/>
    <n v="81"/>
    <s v="Puri"/>
    <s v="A"/>
    <s v="Pass"/>
  </r>
  <r>
    <s v="S0886"/>
    <s v="Aarav Das"/>
    <x v="1"/>
    <n v="11"/>
    <s v="B"/>
    <s v="Math"/>
    <n v="82"/>
    <n v="80"/>
    <s v="Cuttack"/>
    <s v="A"/>
    <s v="Pass"/>
  </r>
  <r>
    <s v="S0887"/>
    <s v="Sohan Sahoo"/>
    <x v="1"/>
    <n v="11"/>
    <s v="C"/>
    <s v="History"/>
    <n v="45"/>
    <n v="100"/>
    <s v="Cuttack"/>
    <s v="F"/>
    <s v="Pass"/>
  </r>
  <r>
    <s v="S0888"/>
    <s v="Rohit Nayak"/>
    <x v="1"/>
    <n v="10"/>
    <s v="C"/>
    <s v="History"/>
    <n v="73"/>
    <n v="62"/>
    <s v="Sambalpur"/>
    <s v="B"/>
    <s v="Pass"/>
  </r>
  <r>
    <s v="S0889"/>
    <s v="Kiran Kumar"/>
    <x v="1"/>
    <n v="11"/>
    <s v="B"/>
    <s v="Geography"/>
    <n v="50"/>
    <n v="72"/>
    <s v="Angul"/>
    <s v="F"/>
    <s v="Pass"/>
  </r>
  <r>
    <s v="S0890"/>
    <s v="Kiran Sahoo"/>
    <x v="0"/>
    <n v="9"/>
    <s v="A"/>
    <s v="Computer"/>
    <n v="74"/>
    <n v="63"/>
    <s v="Bhubaneswar"/>
    <s v="B"/>
    <s v="Pass"/>
  </r>
  <r>
    <s v="S0891"/>
    <s v="Vivaan Sahoo"/>
    <x v="0"/>
    <n v="8"/>
    <s v="A"/>
    <s v="Math"/>
    <n v="44"/>
    <n v="77"/>
    <s v="Cuttack"/>
    <s v="F"/>
    <s v="Pass"/>
  </r>
  <r>
    <s v="S0892"/>
    <s v="Amit Mohanty"/>
    <x v="1"/>
    <n v="8"/>
    <s v="B"/>
    <s v="Math"/>
    <n v="74"/>
    <n v="74"/>
    <s v="Puri"/>
    <s v="B"/>
    <s v="Pass"/>
  </r>
  <r>
    <s v="S0893"/>
    <s v="Rahul Kumar"/>
    <x v="0"/>
    <n v="12"/>
    <s v="C"/>
    <s v="English"/>
    <n v="55"/>
    <n v="99"/>
    <s v="Rourkela"/>
    <s v="F"/>
    <s v="Pass"/>
  </r>
  <r>
    <s v="S0894"/>
    <s v="Pooja Nayak"/>
    <x v="1"/>
    <n v="6"/>
    <s v="B"/>
    <s v="English"/>
    <n v="83"/>
    <n v="92"/>
    <s v="Cuttack"/>
    <s v="A"/>
    <s v="Pass"/>
  </r>
  <r>
    <s v="S0895"/>
    <s v="Vivaan Kumar"/>
    <x v="1"/>
    <n v="7"/>
    <s v="B"/>
    <s v="Math"/>
    <n v="41"/>
    <n v="98"/>
    <s v="Rourkela"/>
    <s v="F"/>
    <s v="Pass"/>
  </r>
  <r>
    <s v="S0896"/>
    <s v="Kavya Das"/>
    <x v="1"/>
    <n v="9"/>
    <s v="A"/>
    <s v="Geography"/>
    <n v="51"/>
    <n v="76"/>
    <s v="Angul"/>
    <s v="F"/>
    <s v="Pass"/>
  </r>
  <r>
    <s v="S0897"/>
    <s v="Priya Kumar"/>
    <x v="1"/>
    <n v="10"/>
    <s v="A"/>
    <s v="Math"/>
    <n v="54"/>
    <n v="95"/>
    <s v="Balasore"/>
    <s v="F"/>
    <s v="Pass"/>
  </r>
  <r>
    <s v="S0898"/>
    <s v="Kavya Kumar"/>
    <x v="1"/>
    <n v="7"/>
    <s v="B"/>
    <s v="Science"/>
    <n v="69"/>
    <n v="70"/>
    <s v="Cuttack"/>
    <s v="C"/>
    <s v="Pass"/>
  </r>
  <r>
    <s v="S0899"/>
    <s v="Priya Sahoo"/>
    <x v="0"/>
    <n v="12"/>
    <s v="C"/>
    <s v="Math"/>
    <n v="95"/>
    <n v="98"/>
    <s v="Cuttack"/>
    <s v="A+"/>
    <s v="Pass"/>
  </r>
  <r>
    <s v="S0900"/>
    <s v="Aditya Nayak"/>
    <x v="0"/>
    <n v="8"/>
    <s v="B"/>
    <s v="Computer"/>
    <n v="69"/>
    <n v="77"/>
    <s v="Bhubaneswar"/>
    <s v="C"/>
    <s v="Pass"/>
  </r>
  <r>
    <s v="S0901"/>
    <s v="Rahul Das"/>
    <x v="0"/>
    <n v="10"/>
    <s v="B"/>
    <s v="Geography"/>
    <n v="71"/>
    <n v="86"/>
    <s v="Rourkela"/>
    <s v="B"/>
    <s v="Pass"/>
  </r>
  <r>
    <s v="S0902"/>
    <s v="Neha Mohanty"/>
    <x v="1"/>
    <n v="10"/>
    <s v="C"/>
    <s v="English"/>
    <n v="37"/>
    <n v="93"/>
    <s v="Rourkela"/>
    <s v="F"/>
    <s v="Pass"/>
  </r>
  <r>
    <s v="S0903"/>
    <s v="Vivaan Patra"/>
    <x v="1"/>
    <n v="11"/>
    <s v="A"/>
    <s v="Computer"/>
    <n v="61"/>
    <n v="70"/>
    <s v="Bhubaneswar"/>
    <s v="C"/>
    <s v="Pass"/>
  </r>
  <r>
    <s v="S0904"/>
    <s v="Sanjay Kumar"/>
    <x v="1"/>
    <n v="7"/>
    <s v="A"/>
    <s v="Computer"/>
    <n v="70"/>
    <n v="67"/>
    <s v="Balasore"/>
    <s v="B"/>
    <s v="Pass"/>
  </r>
  <r>
    <s v="S0905"/>
    <s v="Aarav Patra"/>
    <x v="1"/>
    <n v="12"/>
    <s v="C"/>
    <s v="Science"/>
    <n v="71"/>
    <n v="65"/>
    <s v="Rourkela"/>
    <s v="B"/>
    <s v="Pass"/>
  </r>
  <r>
    <s v="S0906"/>
    <s v="Aarav Das"/>
    <x v="0"/>
    <n v="8"/>
    <s v="A"/>
    <s v="History"/>
    <n v="54"/>
    <n v="80"/>
    <s v="Rourkela"/>
    <s v="F"/>
    <s v="Pass"/>
  </r>
  <r>
    <s v="S0907"/>
    <s v="Aditya Mohanty"/>
    <x v="1"/>
    <n v="7"/>
    <s v="B"/>
    <s v="English"/>
    <n v="96"/>
    <n v="90"/>
    <s v="Sambalpur"/>
    <s v="A+"/>
    <s v="Pass"/>
  </r>
  <r>
    <s v="S0908"/>
    <s v="Neha Das"/>
    <x v="1"/>
    <n v="8"/>
    <s v="B"/>
    <s v="History"/>
    <n v="64"/>
    <n v="90"/>
    <s v="Sambalpur"/>
    <s v="C"/>
    <s v="Pass"/>
  </r>
  <r>
    <s v="S0909"/>
    <s v="Sanjay Sahoo"/>
    <x v="1"/>
    <n v="9"/>
    <s v="B"/>
    <s v="History"/>
    <n v="97"/>
    <n v="86"/>
    <s v="Sambalpur"/>
    <s v="A+"/>
    <s v="Pass"/>
  </r>
  <r>
    <s v="S0910"/>
    <s v="Kiran Sahoo"/>
    <x v="0"/>
    <n v="7"/>
    <s v="A"/>
    <s v="Geography"/>
    <n v="60"/>
    <n v="93"/>
    <s v="Puri"/>
    <s v="C"/>
    <s v="Pass"/>
  </r>
  <r>
    <s v="S0911"/>
    <s v="Ananya Kumar"/>
    <x v="1"/>
    <n v="12"/>
    <s v="C"/>
    <s v="English"/>
    <n v="100"/>
    <n v="63"/>
    <s v="Sambalpur"/>
    <s v="A+"/>
    <s v="Pass"/>
  </r>
  <r>
    <s v="S0912"/>
    <s v="Rohit Mohanty"/>
    <x v="1"/>
    <n v="7"/>
    <s v="B"/>
    <s v="Computer"/>
    <n v="98"/>
    <n v="92"/>
    <s v="Cuttack"/>
    <s v="A+"/>
    <s v="Pass"/>
  </r>
  <r>
    <s v="S0913"/>
    <s v="Vivaan Sahoo"/>
    <x v="0"/>
    <n v="10"/>
    <s v="B"/>
    <s v="Math"/>
    <n v="51"/>
    <n v="92"/>
    <s v="Sambalpur"/>
    <s v="F"/>
    <s v="Pass"/>
  </r>
  <r>
    <s v="S0914"/>
    <s v="Rohit Kumar"/>
    <x v="1"/>
    <n v="6"/>
    <s v="B"/>
    <s v="English"/>
    <n v="33"/>
    <n v="97"/>
    <s v="Sambalpur"/>
    <s v="F"/>
    <s v="Fail"/>
  </r>
  <r>
    <s v="S0915"/>
    <s v="Rahul Sahoo"/>
    <x v="1"/>
    <n v="7"/>
    <s v="A"/>
    <s v="History"/>
    <n v="63"/>
    <n v="72"/>
    <s v="Rourkela"/>
    <s v="C"/>
    <s v="Pass"/>
  </r>
  <r>
    <s v="S0916"/>
    <s v="Pooja Sahoo"/>
    <x v="0"/>
    <n v="8"/>
    <s v="C"/>
    <s v="Math"/>
    <n v="82"/>
    <n v="62"/>
    <s v="Rourkela"/>
    <s v="A"/>
    <s v="Pass"/>
  </r>
  <r>
    <s v="S0917"/>
    <s v="Pooja Kumar"/>
    <x v="0"/>
    <n v="11"/>
    <s v="C"/>
    <s v="Computer"/>
    <n v="44"/>
    <n v="66"/>
    <s v="Bhubaneswar"/>
    <s v="F"/>
    <s v="Pass"/>
  </r>
  <r>
    <s v="S0918"/>
    <s v="Aditya Nayak"/>
    <x v="1"/>
    <n v="10"/>
    <s v="B"/>
    <s v="English"/>
    <n v="60"/>
    <n v="81"/>
    <s v="Puri"/>
    <s v="C"/>
    <s v="Pass"/>
  </r>
  <r>
    <s v="S0919"/>
    <s v="Rohit Das"/>
    <x v="1"/>
    <n v="6"/>
    <s v="A"/>
    <s v="Computer"/>
    <n v="64"/>
    <n v="99"/>
    <s v="Cuttack"/>
    <s v="C"/>
    <s v="Pass"/>
  </r>
  <r>
    <s v="S0920"/>
    <s v="Priya Mohanty"/>
    <x v="0"/>
    <n v="12"/>
    <s v="B"/>
    <s v="English"/>
    <n v="72"/>
    <n v="61"/>
    <s v="Puri"/>
    <s v="B"/>
    <s v="Pass"/>
  </r>
  <r>
    <s v="S0921"/>
    <s v="Riya Kumar"/>
    <x v="1"/>
    <n v="9"/>
    <s v="C"/>
    <s v="Math"/>
    <n v="38"/>
    <n v="77"/>
    <s v="Sambalpur"/>
    <s v="F"/>
    <s v="Pass"/>
  </r>
  <r>
    <s v="S0922"/>
    <s v="Amit Nayak"/>
    <x v="0"/>
    <n v="12"/>
    <s v="C"/>
    <s v="Computer"/>
    <n v="39"/>
    <n v="64"/>
    <s v="Puri"/>
    <s v="F"/>
    <s v="Pass"/>
  </r>
  <r>
    <s v="S0923"/>
    <s v="Sanjay Sahoo"/>
    <x v="1"/>
    <n v="9"/>
    <s v="B"/>
    <s v="Math"/>
    <n v="48"/>
    <n v="68"/>
    <s v="Bhubaneswar"/>
    <s v="F"/>
    <s v="Pass"/>
  </r>
  <r>
    <s v="S0924"/>
    <s v="Aditya Patra"/>
    <x v="1"/>
    <n v="9"/>
    <s v="A"/>
    <s v="Computer"/>
    <n v="52"/>
    <n v="69"/>
    <s v="Cuttack"/>
    <s v="F"/>
    <s v="Pass"/>
  </r>
  <r>
    <s v="S0925"/>
    <s v="Riya Sahoo"/>
    <x v="1"/>
    <n v="6"/>
    <s v="B"/>
    <s v="Geography"/>
    <n v="45"/>
    <n v="80"/>
    <s v="Puri"/>
    <s v="F"/>
    <s v="Pass"/>
  </r>
  <r>
    <s v="S0926"/>
    <s v="Sneha Sahoo"/>
    <x v="1"/>
    <n v="6"/>
    <s v="C"/>
    <s v="Geography"/>
    <n v="78"/>
    <n v="65"/>
    <s v="Bhubaneswar"/>
    <s v="B"/>
    <s v="Pass"/>
  </r>
  <r>
    <s v="S0927"/>
    <s v="Riya Mohanty"/>
    <x v="1"/>
    <n v="9"/>
    <s v="A"/>
    <s v="Math"/>
    <n v="97"/>
    <n v="90"/>
    <s v="Angul"/>
    <s v="A+"/>
    <s v="Pass"/>
  </r>
  <r>
    <s v="S0928"/>
    <s v="Riya Mohanty"/>
    <x v="1"/>
    <n v="10"/>
    <s v="B"/>
    <s v="Math"/>
    <n v="88"/>
    <n v="92"/>
    <s v="Cuttack"/>
    <s v="A"/>
    <s v="Pass"/>
  </r>
  <r>
    <s v="S0929"/>
    <s v="Kiran Sahoo"/>
    <x v="1"/>
    <n v="12"/>
    <s v="B"/>
    <s v="Science"/>
    <n v="36"/>
    <n v="69"/>
    <s v="Sambalpur"/>
    <s v="F"/>
    <s v="Pass"/>
  </r>
  <r>
    <s v="S0930"/>
    <s v="Amit Patra"/>
    <x v="0"/>
    <n v="8"/>
    <s v="A"/>
    <s v="Science"/>
    <n v="67"/>
    <n v="66"/>
    <s v="Sambalpur"/>
    <s v="C"/>
    <s v="Pass"/>
  </r>
  <r>
    <s v="S0931"/>
    <s v="Amit Patra"/>
    <x v="1"/>
    <n v="10"/>
    <s v="A"/>
    <s v="Computer"/>
    <n v="50"/>
    <n v="100"/>
    <s v="Puri"/>
    <s v="F"/>
    <s v="Pass"/>
  </r>
  <r>
    <s v="S0932"/>
    <s v="Kiran Patra"/>
    <x v="1"/>
    <n v="6"/>
    <s v="A"/>
    <s v="History"/>
    <n v="99"/>
    <n v="75"/>
    <s v="Balasore"/>
    <s v="A+"/>
    <s v="Pass"/>
  </r>
  <r>
    <s v="S0933"/>
    <s v="Rahul Das"/>
    <x v="1"/>
    <n v="8"/>
    <s v="C"/>
    <s v="History"/>
    <n v="45"/>
    <n v="74"/>
    <s v="Puri"/>
    <s v="F"/>
    <s v="Pass"/>
  </r>
  <r>
    <s v="S0934"/>
    <s v="Rahul Kumar"/>
    <x v="0"/>
    <n v="11"/>
    <s v="C"/>
    <s v="Science"/>
    <n v="87"/>
    <n v="88"/>
    <s v="Bhubaneswar"/>
    <s v="A"/>
    <s v="Pass"/>
  </r>
  <r>
    <s v="S0935"/>
    <s v="Sneha Mohanty"/>
    <x v="0"/>
    <n v="6"/>
    <s v="A"/>
    <s v="Math"/>
    <n v="93"/>
    <n v="70"/>
    <s v="Rourkela"/>
    <s v="A+"/>
    <s v="Pass"/>
  </r>
  <r>
    <s v="S0936"/>
    <s v="Priya Patra"/>
    <x v="1"/>
    <n v="11"/>
    <s v="A"/>
    <s v="Science"/>
    <n v="73"/>
    <n v="85"/>
    <s v="Sambalpur"/>
    <s v="B"/>
    <s v="Pass"/>
  </r>
  <r>
    <s v="S0937"/>
    <s v="Rohit Das"/>
    <x v="1"/>
    <n v="8"/>
    <s v="C"/>
    <s v="English"/>
    <n v="64"/>
    <n v="81"/>
    <s v="Bhubaneswar"/>
    <s v="C"/>
    <s v="Pass"/>
  </r>
  <r>
    <s v="S0938"/>
    <s v="Amit Sahoo"/>
    <x v="1"/>
    <n v="10"/>
    <s v="C"/>
    <s v="Math"/>
    <n v="71"/>
    <n v="62"/>
    <s v="Cuttack"/>
    <s v="B"/>
    <s v="Pass"/>
  </r>
  <r>
    <s v="S0939"/>
    <s v="Kiran Mohanty"/>
    <x v="0"/>
    <n v="11"/>
    <s v="C"/>
    <s v="History"/>
    <n v="44"/>
    <n v="79"/>
    <s v="Cuttack"/>
    <s v="F"/>
    <s v="Pass"/>
  </r>
  <r>
    <s v="S0940"/>
    <s v="Neha Mohanty"/>
    <x v="1"/>
    <n v="11"/>
    <s v="B"/>
    <s v="Geography"/>
    <n v="74"/>
    <n v="69"/>
    <s v="Bhubaneswar"/>
    <s v="B"/>
    <s v="Pass"/>
  </r>
  <r>
    <s v="S0941"/>
    <s v="Aarav Kumar"/>
    <x v="1"/>
    <n v="8"/>
    <s v="B"/>
    <s v="Math"/>
    <n v="66"/>
    <n v="67"/>
    <s v="Sambalpur"/>
    <s v="C"/>
    <s v="Pass"/>
  </r>
  <r>
    <s v="S0942"/>
    <s v="Vivaan Kumar"/>
    <x v="0"/>
    <n v="7"/>
    <s v="A"/>
    <s v="Science"/>
    <n v="52"/>
    <n v="97"/>
    <s v="Bhubaneswar"/>
    <s v="F"/>
    <s v="Pass"/>
  </r>
  <r>
    <s v="S0943"/>
    <s v="Rohit Mohanty"/>
    <x v="0"/>
    <n v="11"/>
    <s v="A"/>
    <s v="Math"/>
    <n v="53"/>
    <n v="74"/>
    <s v="Puri"/>
    <s v="F"/>
    <s v="Pass"/>
  </r>
  <r>
    <s v="S0944"/>
    <s v="Rohit Patra"/>
    <x v="0"/>
    <n v="12"/>
    <s v="B"/>
    <s v="English"/>
    <n v="79"/>
    <n v="94"/>
    <s v="Puri"/>
    <s v="B"/>
    <s v="Pass"/>
  </r>
  <r>
    <s v="S0945"/>
    <s v="Sanjay Sahoo"/>
    <x v="1"/>
    <n v="10"/>
    <s v="B"/>
    <s v="Geography"/>
    <n v="36"/>
    <n v="87"/>
    <s v="Puri"/>
    <s v="F"/>
    <s v="Pass"/>
  </r>
  <r>
    <s v="S0946"/>
    <s v="Sneha Kumar"/>
    <x v="0"/>
    <n v="7"/>
    <s v="B"/>
    <s v="Geography"/>
    <n v="78"/>
    <n v="65"/>
    <s v="Cuttack"/>
    <s v="B"/>
    <s v="Pass"/>
  </r>
  <r>
    <s v="S0947"/>
    <s v="Rohit Nayak"/>
    <x v="0"/>
    <n v="7"/>
    <s v="C"/>
    <s v="English"/>
    <n v="46"/>
    <n v="77"/>
    <s v="Bhubaneswar"/>
    <s v="F"/>
    <s v="Pass"/>
  </r>
  <r>
    <s v="S0948"/>
    <s v="Riya Sahoo"/>
    <x v="1"/>
    <n v="7"/>
    <s v="B"/>
    <s v="Geography"/>
    <n v="72"/>
    <n v="93"/>
    <s v="Cuttack"/>
    <s v="B"/>
    <s v="Pass"/>
  </r>
  <r>
    <s v="S0949"/>
    <s v="Riya Sahoo"/>
    <x v="1"/>
    <n v="11"/>
    <s v="A"/>
    <s v="Computer"/>
    <n v="35"/>
    <n v="63"/>
    <s v="Balasore"/>
    <s v="F"/>
    <s v="Pass"/>
  </r>
  <r>
    <s v="S0950"/>
    <s v="Aarav Kumar"/>
    <x v="0"/>
    <n v="11"/>
    <s v="B"/>
    <s v="Geography"/>
    <n v="70"/>
    <n v="95"/>
    <s v="Angul"/>
    <s v="B"/>
    <s v="Pass"/>
  </r>
  <r>
    <s v="S0951"/>
    <s v="Kiran Mohanty"/>
    <x v="1"/>
    <n v="7"/>
    <s v="C"/>
    <s v="Science"/>
    <n v="87"/>
    <n v="79"/>
    <s v="Angul"/>
    <s v="A"/>
    <s v="Pass"/>
  </r>
  <r>
    <s v="S0952"/>
    <s v="Ananya Sahoo"/>
    <x v="0"/>
    <n v="7"/>
    <s v="B"/>
    <s v="English"/>
    <n v="84"/>
    <n v="97"/>
    <s v="Puri"/>
    <s v="A"/>
    <s v="Pass"/>
  </r>
  <r>
    <s v="S0953"/>
    <s v="Rahul Sahoo"/>
    <x v="0"/>
    <n v="12"/>
    <s v="C"/>
    <s v="History"/>
    <n v="74"/>
    <n v="70"/>
    <s v="Angul"/>
    <s v="B"/>
    <s v="Pass"/>
  </r>
  <r>
    <s v="S0954"/>
    <s v="Rahul Sahoo"/>
    <x v="1"/>
    <n v="8"/>
    <s v="A"/>
    <s v="English"/>
    <n v="63"/>
    <n v="76"/>
    <s v="Sambalpur"/>
    <s v="C"/>
    <s v="Pass"/>
  </r>
  <r>
    <s v="S0955"/>
    <s v="Pooja Mohanty"/>
    <x v="0"/>
    <n v="10"/>
    <s v="A"/>
    <s v="Science"/>
    <n v="49"/>
    <n v="98"/>
    <s v="Rourkela"/>
    <s v="F"/>
    <s v="Pass"/>
  </r>
  <r>
    <s v="S0956"/>
    <s v="Ananya Sahoo"/>
    <x v="0"/>
    <n v="9"/>
    <s v="C"/>
    <s v="Math"/>
    <n v="61"/>
    <n v="99"/>
    <s v="Balasore"/>
    <s v="C"/>
    <s v="Pass"/>
  </r>
  <r>
    <s v="S0957"/>
    <s v="Pooja Mohanty"/>
    <x v="0"/>
    <n v="7"/>
    <s v="C"/>
    <s v="Computer"/>
    <n v="51"/>
    <n v="81"/>
    <s v="Rourkela"/>
    <s v="F"/>
    <s v="Pass"/>
  </r>
  <r>
    <s v="S0958"/>
    <s v="Pooja Kumar"/>
    <x v="1"/>
    <n v="6"/>
    <s v="C"/>
    <s v="English"/>
    <n v="88"/>
    <n v="72"/>
    <s v="Angul"/>
    <s v="A"/>
    <s v="Pass"/>
  </r>
  <r>
    <s v="S0959"/>
    <s v="Neha Patra"/>
    <x v="0"/>
    <n v="10"/>
    <s v="C"/>
    <s v="History"/>
    <n v="55"/>
    <n v="63"/>
    <s v="Angul"/>
    <s v="F"/>
    <s v="Pass"/>
  </r>
  <r>
    <s v="S0960"/>
    <s v="Ananya Mohanty"/>
    <x v="1"/>
    <n v="11"/>
    <s v="C"/>
    <s v="Science"/>
    <n v="77"/>
    <n v="86"/>
    <s v="Angul"/>
    <s v="B"/>
    <s v="Pass"/>
  </r>
  <r>
    <s v="S0961"/>
    <s v="Priya Nayak"/>
    <x v="0"/>
    <n v="8"/>
    <s v="C"/>
    <s v="History"/>
    <n v="39"/>
    <n v="61"/>
    <s v="Bhubaneswar"/>
    <s v="F"/>
    <s v="Pass"/>
  </r>
  <r>
    <s v="S0962"/>
    <s v="Ananya Patra"/>
    <x v="0"/>
    <n v="11"/>
    <s v="B"/>
    <s v="History"/>
    <n v="38"/>
    <n v="74"/>
    <s v="Rourkela"/>
    <s v="F"/>
    <s v="Pass"/>
  </r>
  <r>
    <s v="S0963"/>
    <s v="Amit Mohanty"/>
    <x v="0"/>
    <n v="12"/>
    <s v="A"/>
    <s v="History"/>
    <n v="91"/>
    <n v="84"/>
    <s v="Angul"/>
    <s v="A+"/>
    <s v="Pass"/>
  </r>
  <r>
    <s v="S0964"/>
    <s v="Kavya Das"/>
    <x v="0"/>
    <n v="11"/>
    <s v="B"/>
    <s v="History"/>
    <n v="35"/>
    <n v="92"/>
    <s v="Puri"/>
    <s v="F"/>
    <s v="Pass"/>
  </r>
  <r>
    <s v="S0965"/>
    <s v="Ananya Patra"/>
    <x v="1"/>
    <n v="7"/>
    <s v="C"/>
    <s v="Computer"/>
    <n v="51"/>
    <n v="64"/>
    <s v="Cuttack"/>
    <s v="F"/>
    <s v="Pass"/>
  </r>
  <r>
    <s v="S0966"/>
    <s v="Ananya Nayak"/>
    <x v="0"/>
    <n v="12"/>
    <s v="C"/>
    <s v="History"/>
    <n v="60"/>
    <n v="83"/>
    <s v="Sambalpur"/>
    <s v="C"/>
    <s v="Pass"/>
  </r>
  <r>
    <s v="S0967"/>
    <s v="Aarav Nayak"/>
    <x v="0"/>
    <n v="8"/>
    <s v="C"/>
    <s v="Science"/>
    <n v="65"/>
    <n v="80"/>
    <s v="Angul"/>
    <s v="C"/>
    <s v="Pass"/>
  </r>
  <r>
    <s v="S0968"/>
    <s v="Ananya Patra"/>
    <x v="0"/>
    <n v="8"/>
    <s v="A"/>
    <s v="English"/>
    <n v="50"/>
    <n v="97"/>
    <s v="Sambalpur"/>
    <s v="F"/>
    <s v="Pass"/>
  </r>
  <r>
    <s v="S0969"/>
    <s v="Sohan Patra"/>
    <x v="0"/>
    <n v="8"/>
    <s v="C"/>
    <s v="English"/>
    <n v="49"/>
    <n v="82"/>
    <s v="Rourkela"/>
    <s v="F"/>
    <s v="Pass"/>
  </r>
  <r>
    <s v="S0970"/>
    <s v="Rahul Sahoo"/>
    <x v="1"/>
    <n v="6"/>
    <s v="A"/>
    <s v="Math"/>
    <n v="60"/>
    <n v="69"/>
    <s v="Puri"/>
    <s v="C"/>
    <s v="Pass"/>
  </r>
  <r>
    <s v="S0971"/>
    <s v="Pooja Patra"/>
    <x v="0"/>
    <n v="8"/>
    <s v="B"/>
    <s v="Science"/>
    <n v="35"/>
    <n v="73"/>
    <s v="Sambalpur"/>
    <s v="F"/>
    <s v="Pass"/>
  </r>
  <r>
    <s v="S0972"/>
    <s v="Aditya Das"/>
    <x v="1"/>
    <n v="10"/>
    <s v="B"/>
    <s v="Geography"/>
    <n v="80"/>
    <n v="65"/>
    <s v="Balasore"/>
    <s v="A"/>
    <s v="Pass"/>
  </r>
  <r>
    <s v="S0973"/>
    <s v="Aditya Patra"/>
    <x v="1"/>
    <n v="9"/>
    <s v="A"/>
    <s v="Geography"/>
    <n v="44"/>
    <n v="97"/>
    <s v="Bhubaneswar"/>
    <s v="F"/>
    <s v="Pass"/>
  </r>
  <r>
    <s v="S0974"/>
    <s v="Kiran Nayak"/>
    <x v="0"/>
    <n v="9"/>
    <s v="B"/>
    <s v="Math"/>
    <n v="97"/>
    <n v="95"/>
    <s v="Balasore"/>
    <s v="A+"/>
    <s v="Pass"/>
  </r>
  <r>
    <s v="S0975"/>
    <s v="Vivaan Patra"/>
    <x v="0"/>
    <n v="10"/>
    <s v="B"/>
    <s v="Math"/>
    <n v="69"/>
    <n v="70"/>
    <s v="Rourkela"/>
    <s v="C"/>
    <s v="Pass"/>
  </r>
  <r>
    <s v="S0976"/>
    <s v="Amit Patra"/>
    <x v="0"/>
    <n v="12"/>
    <s v="C"/>
    <s v="Computer"/>
    <n v="77"/>
    <n v="94"/>
    <s v="Balasore"/>
    <s v="B"/>
    <s v="Pass"/>
  </r>
  <r>
    <s v="S0977"/>
    <s v="Kavya Patra"/>
    <x v="1"/>
    <n v="10"/>
    <s v="C"/>
    <s v="English"/>
    <n v="81"/>
    <n v="83"/>
    <s v="Sambalpur"/>
    <s v="A"/>
    <s v="Pass"/>
  </r>
  <r>
    <s v="S0978"/>
    <s v="Vivaan Patra"/>
    <x v="0"/>
    <n v="8"/>
    <s v="C"/>
    <s v="Geography"/>
    <n v="48"/>
    <n v="71"/>
    <s v="Puri"/>
    <s v="F"/>
    <s v="Pass"/>
  </r>
  <r>
    <s v="S0979"/>
    <s v="Sanjay Patra"/>
    <x v="1"/>
    <n v="10"/>
    <s v="B"/>
    <s v="Math"/>
    <n v="80"/>
    <n v="78"/>
    <s v="Cuttack"/>
    <s v="A"/>
    <s v="Pass"/>
  </r>
  <r>
    <s v="S0980"/>
    <s v="Pooja Nayak"/>
    <x v="0"/>
    <n v="9"/>
    <s v="C"/>
    <s v="History"/>
    <n v="48"/>
    <n v="67"/>
    <s v="Angul"/>
    <s v="F"/>
    <s v="Pass"/>
  </r>
  <r>
    <s v="S0981"/>
    <s v="Sneha Das"/>
    <x v="0"/>
    <n v="9"/>
    <s v="A"/>
    <s v="English"/>
    <n v="52"/>
    <n v="95"/>
    <s v="Balasore"/>
    <s v="F"/>
    <s v="Pass"/>
  </r>
  <r>
    <s v="S0982"/>
    <s v="Amit Das"/>
    <x v="0"/>
    <n v="7"/>
    <s v="B"/>
    <s v="Computer"/>
    <n v="98"/>
    <n v="63"/>
    <s v="Balasore"/>
    <s v="A+"/>
    <s v="Pass"/>
  </r>
  <r>
    <s v="S0983"/>
    <s v="Amit Patra"/>
    <x v="1"/>
    <n v="12"/>
    <s v="C"/>
    <s v="Geography"/>
    <n v="84"/>
    <n v="60"/>
    <s v="Puri"/>
    <s v="A"/>
    <s v="Pass"/>
  </r>
  <r>
    <s v="S0984"/>
    <s v="Ananya Sahoo"/>
    <x v="1"/>
    <n v="12"/>
    <s v="A"/>
    <s v="Computer"/>
    <n v="55"/>
    <n v="90"/>
    <s v="Puri"/>
    <s v="F"/>
    <s v="Pass"/>
  </r>
  <r>
    <s v="S0985"/>
    <s v="Rahul Kumar"/>
    <x v="1"/>
    <n v="9"/>
    <s v="B"/>
    <s v="Math"/>
    <n v="73"/>
    <n v="70"/>
    <s v="Balasore"/>
    <s v="B"/>
    <s v="Pass"/>
  </r>
  <r>
    <s v="S0986"/>
    <s v="Kiran Das"/>
    <x v="0"/>
    <n v="9"/>
    <s v="B"/>
    <s v="Geography"/>
    <n v="76"/>
    <n v="75"/>
    <s v="Sambalpur"/>
    <s v="B"/>
    <s v="Pass"/>
  </r>
  <r>
    <s v="S0987"/>
    <s v="Priya Kumar"/>
    <x v="1"/>
    <n v="11"/>
    <s v="B"/>
    <s v="English"/>
    <n v="68"/>
    <n v="83"/>
    <s v="Balasore"/>
    <s v="C"/>
    <s v="Pass"/>
  </r>
  <r>
    <s v="S0988"/>
    <s v="Priya Patra"/>
    <x v="0"/>
    <n v="10"/>
    <s v="B"/>
    <s v="Computer"/>
    <n v="86"/>
    <n v="92"/>
    <s v="Rourkela"/>
    <s v="A"/>
    <s v="Pass"/>
  </r>
  <r>
    <s v="S0989"/>
    <s v="Priya Nayak"/>
    <x v="1"/>
    <n v="8"/>
    <s v="A"/>
    <s v="History"/>
    <n v="55"/>
    <n v="80"/>
    <s v="Sambalpur"/>
    <s v="F"/>
    <s v="Pass"/>
  </r>
  <r>
    <s v="S0990"/>
    <s v="Amit Kumar"/>
    <x v="1"/>
    <n v="6"/>
    <s v="A"/>
    <s v="Math"/>
    <n v="84"/>
    <n v="64"/>
    <s v="Balasore"/>
    <s v="A"/>
    <s v="Pass"/>
  </r>
  <r>
    <s v="S0991"/>
    <s v="Vivaan Sahoo"/>
    <x v="1"/>
    <n v="11"/>
    <s v="B"/>
    <s v="Computer"/>
    <n v="87"/>
    <n v="80"/>
    <s v="Sambalpur"/>
    <s v="A"/>
    <s v="Pass"/>
  </r>
  <r>
    <s v="S0992"/>
    <s v="Sohan Nayak"/>
    <x v="1"/>
    <n v="10"/>
    <s v="C"/>
    <s v="English"/>
    <n v="44"/>
    <n v="75"/>
    <s v="Sambalpur"/>
    <s v="F"/>
    <s v="Pass"/>
  </r>
  <r>
    <s v="S0993"/>
    <s v="Sneha Mohanty"/>
    <x v="0"/>
    <n v="8"/>
    <s v="C"/>
    <s v="English"/>
    <n v="71"/>
    <n v="91"/>
    <s v="Rourkela"/>
    <s v="B"/>
    <s v="Pass"/>
  </r>
  <r>
    <s v="S0994"/>
    <s v="Rahul Mohanty"/>
    <x v="1"/>
    <n v="8"/>
    <s v="C"/>
    <s v="Computer"/>
    <n v="57"/>
    <n v="85"/>
    <s v="Angul"/>
    <s v="F"/>
    <s v="Pass"/>
  </r>
  <r>
    <s v="S0995"/>
    <s v="Neha Das"/>
    <x v="0"/>
    <n v="6"/>
    <s v="A"/>
    <s v="Geography"/>
    <n v="40"/>
    <n v="80"/>
    <s v="Puri"/>
    <s v="F"/>
    <s v="Pass"/>
  </r>
  <r>
    <s v="S0996"/>
    <s v="Pooja Patra"/>
    <x v="1"/>
    <n v="9"/>
    <s v="A"/>
    <s v="Geography"/>
    <n v="49"/>
    <n v="90"/>
    <s v="Rourkela"/>
    <s v="F"/>
    <s v="Pass"/>
  </r>
  <r>
    <s v="S0997"/>
    <s v="Rahul Kumar"/>
    <x v="0"/>
    <n v="7"/>
    <s v="A"/>
    <s v="Science"/>
    <n v="66"/>
    <n v="70"/>
    <s v="Puri"/>
    <s v="C"/>
    <s v="Pass"/>
  </r>
  <r>
    <s v="S0998"/>
    <s v="Neha Mohanty"/>
    <x v="0"/>
    <n v="11"/>
    <s v="B"/>
    <s v="Computer"/>
    <n v="84"/>
    <n v="71"/>
    <s v="Sambalpur"/>
    <s v="A"/>
    <s v="Pass"/>
  </r>
  <r>
    <s v="S0999"/>
    <s v="Sneha Mohanty"/>
    <x v="0"/>
    <n v="9"/>
    <s v="A"/>
    <s v="History"/>
    <n v="46"/>
    <n v="83"/>
    <s v="Cuttack"/>
    <s v="F"/>
    <s v="Pass"/>
  </r>
  <r>
    <s v="S1000"/>
    <s v="Rohit Mohanty"/>
    <x v="1"/>
    <n v="9"/>
    <s v="A"/>
    <s v="Science"/>
    <n v="41"/>
    <n v="67"/>
    <s v="Angul"/>
    <s v="F"/>
    <s v="Pass"/>
  </r>
  <r>
    <s v="S1001"/>
    <s v="Sneha Patra"/>
    <x v="0"/>
    <n v="6"/>
    <s v="A"/>
    <s v="Math"/>
    <n v="84"/>
    <n v="74"/>
    <s v="Puri"/>
    <s v="A"/>
    <s v="Pa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AA9369-2F33-4029-A774-5D7C7FC5B8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9" firstHeaderRow="1" firstDataRow="1" firstDataCol="1"/>
  <pivotFields count="11">
    <pivotField showAll="0"/>
    <pivotField showAll="0"/>
    <pivotField showAll="0">
      <items count="4">
        <item x="0"/>
        <item x="1"/>
        <item x="2"/>
        <item t="default"/>
      </items>
    </pivotField>
    <pivotField showAll="0">
      <items count="9">
        <item x="2"/>
        <item x="3"/>
        <item x="0"/>
        <item x="5"/>
        <item x="4"/>
        <item x="6"/>
        <item x="1"/>
        <item x="7"/>
        <item t="default"/>
      </items>
    </pivotField>
    <pivotField showAll="0"/>
    <pivotField axis="axisRow" showAll="0">
      <items count="8">
        <item x="3"/>
        <item x="1"/>
        <item x="4"/>
        <item x="2"/>
        <item x="0"/>
        <item x="5"/>
        <item x="6"/>
        <item t="default"/>
      </items>
    </pivotField>
    <pivotField dataField="1" showAll="0">
      <items count="71">
        <item x="67"/>
        <item x="66"/>
        <item x="68"/>
        <item x="60"/>
        <item x="0"/>
        <item x="5"/>
        <item x="13"/>
        <item x="41"/>
        <item x="24"/>
        <item x="52"/>
        <item x="26"/>
        <item x="65"/>
        <item x="61"/>
        <item x="7"/>
        <item x="40"/>
        <item x="55"/>
        <item x="59"/>
        <item x="37"/>
        <item x="30"/>
        <item x="4"/>
        <item x="15"/>
        <item x="44"/>
        <item x="19"/>
        <item x="11"/>
        <item x="62"/>
        <item x="56"/>
        <item x="34"/>
        <item x="25"/>
        <item x="36"/>
        <item x="58"/>
        <item x="48"/>
        <item x="53"/>
        <item x="64"/>
        <item x="14"/>
        <item x="2"/>
        <item x="54"/>
        <item x="42"/>
        <item x="16"/>
        <item x="49"/>
        <item x="3"/>
        <item x="28"/>
        <item x="27"/>
        <item x="50"/>
        <item x="33"/>
        <item x="20"/>
        <item x="29"/>
        <item x="6"/>
        <item x="35"/>
        <item x="18"/>
        <item x="39"/>
        <item x="23"/>
        <item x="45"/>
        <item x="63"/>
        <item x="17"/>
        <item x="8"/>
        <item x="47"/>
        <item x="31"/>
        <item x="43"/>
        <item x="1"/>
        <item x="9"/>
        <item x="51"/>
        <item x="32"/>
        <item x="38"/>
        <item x="10"/>
        <item x="12"/>
        <item x="57"/>
        <item x="21"/>
        <item x="22"/>
        <item x="46"/>
        <item x="69"/>
        <item t="default"/>
      </items>
    </pivotField>
    <pivotField showAll="0"/>
    <pivotField showAll="0">
      <items count="9">
        <item x="4"/>
        <item x="2"/>
        <item x="1"/>
        <item x="3"/>
        <item x="5"/>
        <item x="0"/>
        <item x="6"/>
        <item x="7"/>
        <item t="default"/>
      </items>
    </pivotField>
    <pivotField showAll="0"/>
    <pivotField showAll="0"/>
  </pivotFields>
  <rowFields count="1">
    <field x="5"/>
  </rowFields>
  <rowItems count="8">
    <i>
      <x/>
    </i>
    <i>
      <x v="1"/>
    </i>
    <i>
      <x v="2"/>
    </i>
    <i>
      <x v="3"/>
    </i>
    <i>
      <x v="4"/>
    </i>
    <i>
      <x v="5"/>
    </i>
    <i>
      <x v="6"/>
    </i>
    <i t="grand">
      <x/>
    </i>
  </rowItems>
  <colItems count="1">
    <i/>
  </colItems>
  <dataFields count="1">
    <dataField name="Average of Marks" fld="6"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B2460-0F83-4D2B-A1DB-1BEAB77765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0" firstHeaderRow="1" firstDataRow="1" firstDataCol="1"/>
  <pivotFields count="11">
    <pivotField showAll="0"/>
    <pivotField showAll="0"/>
    <pivotField showAll="0">
      <items count="4">
        <item x="0"/>
        <item x="1"/>
        <item x="2"/>
        <item t="default"/>
      </items>
    </pivotField>
    <pivotField axis="axisRow" showAll="0">
      <items count="9">
        <item x="2"/>
        <item x="3"/>
        <item x="0"/>
        <item x="5"/>
        <item x="4"/>
        <item x="6"/>
        <item x="1"/>
        <item x="7"/>
        <item t="default"/>
      </items>
    </pivotField>
    <pivotField showAll="0"/>
    <pivotField showAll="0">
      <items count="8">
        <item x="3"/>
        <item x="1"/>
        <item x="4"/>
        <item x="2"/>
        <item x="0"/>
        <item x="5"/>
        <item x="6"/>
        <item t="default"/>
      </items>
    </pivotField>
    <pivotField dataField="1" showAll="0"/>
    <pivotField showAll="0"/>
    <pivotField showAll="0">
      <items count="9">
        <item x="4"/>
        <item x="2"/>
        <item x="1"/>
        <item x="3"/>
        <item x="5"/>
        <item x="0"/>
        <item x="6"/>
        <item x="7"/>
        <item t="default"/>
      </items>
    </pivotField>
    <pivotField showAll="0"/>
    <pivotField showAll="0"/>
  </pivotFields>
  <rowFields count="1">
    <field x="3"/>
  </rowFields>
  <rowItems count="9">
    <i>
      <x/>
    </i>
    <i>
      <x v="1"/>
    </i>
    <i>
      <x v="2"/>
    </i>
    <i>
      <x v="3"/>
    </i>
    <i>
      <x v="4"/>
    </i>
    <i>
      <x v="5"/>
    </i>
    <i>
      <x v="6"/>
    </i>
    <i>
      <x v="7"/>
    </i>
    <i t="grand">
      <x/>
    </i>
  </rowItems>
  <colItems count="1">
    <i/>
  </colItems>
  <dataFields count="1">
    <dataField name="Average of Marks" fld="6" subtotal="average" baseField="3" baseItem="0"/>
  </dataFields>
  <chartFormats count="2">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2312FC-0864-4B62-BFEF-AC46D4AE90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0" firstHeaderRow="1" firstDataRow="1" firstDataCol="1"/>
  <pivotFields count="11">
    <pivotField showAll="0">
      <items count="10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t="default"/>
      </items>
    </pivotField>
    <pivotField showAll="0">
      <items count="98">
        <item x="66"/>
        <item x="46"/>
        <item x="41"/>
        <item x="32"/>
        <item x="33"/>
        <item x="74"/>
        <item x="31"/>
        <item x="23"/>
        <item x="54"/>
        <item x="76"/>
        <item x="65"/>
        <item x="89"/>
        <item x="56"/>
        <item x="17"/>
        <item x="68"/>
        <item x="5"/>
        <item x="27"/>
        <item x="61"/>
        <item x="67"/>
        <item x="51"/>
        <item x="35"/>
        <item x="24"/>
        <item x="0"/>
        <item x="83"/>
        <item x="10"/>
        <item x="2"/>
        <item x="20"/>
        <item x="73"/>
        <item x="62"/>
        <item x="58"/>
        <item x="82"/>
        <item x="75"/>
        <item x="53"/>
        <item x="86"/>
        <item x="57"/>
        <item x="11"/>
        <item x="84"/>
        <item x="71"/>
        <item x="43"/>
        <item x="59"/>
        <item x="9"/>
        <item x="88"/>
        <item x="36"/>
        <item x="64"/>
        <item x="69"/>
        <item x="92"/>
        <item x="44"/>
        <item x="52"/>
        <item x="38"/>
        <item x="45"/>
        <item x="7"/>
        <item x="16"/>
        <item x="85"/>
        <item x="34"/>
        <item x="4"/>
        <item x="37"/>
        <item x="3"/>
        <item x="40"/>
        <item x="80"/>
        <item x="25"/>
        <item x="63"/>
        <item x="15"/>
        <item x="79"/>
        <item x="18"/>
        <item x="13"/>
        <item x="19"/>
        <item x="94"/>
        <item x="1"/>
        <item x="60"/>
        <item x="30"/>
        <item x="90"/>
        <item x="8"/>
        <item x="49"/>
        <item x="95"/>
        <item x="21"/>
        <item x="50"/>
        <item x="91"/>
        <item x="48"/>
        <item x="14"/>
        <item x="81"/>
        <item x="78"/>
        <item x="47"/>
        <item x="26"/>
        <item x="87"/>
        <item x="29"/>
        <item x="6"/>
        <item x="12"/>
        <item x="93"/>
        <item x="28"/>
        <item x="77"/>
        <item x="72"/>
        <item x="42"/>
        <item x="22"/>
        <item x="70"/>
        <item x="55"/>
        <item x="39"/>
        <item x="96"/>
        <item t="default"/>
      </items>
    </pivotField>
    <pivotField showAll="0">
      <items count="4">
        <item x="0"/>
        <item x="1"/>
        <item x="2"/>
        <item t="default"/>
      </items>
    </pivotField>
    <pivotField showAll="0">
      <items count="9">
        <item x="2"/>
        <item x="3"/>
        <item x="0"/>
        <item x="5"/>
        <item x="4"/>
        <item x="6"/>
        <item x="1"/>
        <item x="7"/>
        <item t="default"/>
      </items>
    </pivotField>
    <pivotField showAll="0"/>
    <pivotField showAll="0">
      <items count="8">
        <item x="3"/>
        <item x="1"/>
        <item x="4"/>
        <item x="2"/>
        <item x="0"/>
        <item x="5"/>
        <item x="6"/>
        <item t="default"/>
      </items>
    </pivotField>
    <pivotField dataField="1" showAll="0"/>
    <pivotField showAll="0"/>
    <pivotField axis="axisRow" showAll="0">
      <items count="9">
        <item x="4"/>
        <item x="2"/>
        <item x="1"/>
        <item x="3"/>
        <item x="5"/>
        <item x="0"/>
        <item x="6"/>
        <item x="7"/>
        <item t="default"/>
      </items>
    </pivotField>
    <pivotField showAll="0"/>
    <pivotField showAll="0"/>
  </pivotFields>
  <rowFields count="1">
    <field x="8"/>
  </rowFields>
  <rowItems count="9">
    <i>
      <x/>
    </i>
    <i>
      <x v="1"/>
    </i>
    <i>
      <x v="2"/>
    </i>
    <i>
      <x v="3"/>
    </i>
    <i>
      <x v="4"/>
    </i>
    <i>
      <x v="5"/>
    </i>
    <i>
      <x v="6"/>
    </i>
    <i>
      <x v="7"/>
    </i>
    <i t="grand">
      <x/>
    </i>
  </rowItems>
  <colItems count="1">
    <i/>
  </colItems>
  <dataFields count="1">
    <dataField name="Count of Marks" fld="6" subtotal="count" baseField="8" baseItem="6"/>
  </dataFields>
  <chartFormats count="4">
    <chartFormat chart="2" format="28"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8" count="1" selected="0">
            <x v="2"/>
          </reference>
        </references>
      </pivotArea>
    </chartFormat>
    <chartFormat chart="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7C3C6-48BA-4D07-BF52-F2F663570F8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11">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s>
  <rowFields count="1">
    <field x="2"/>
  </rowFields>
  <rowItems count="3">
    <i>
      <x/>
    </i>
    <i>
      <x v="1"/>
    </i>
    <i t="grand">
      <x/>
    </i>
  </rowItems>
  <colItems count="1">
    <i/>
  </colItems>
  <dataFields count="1">
    <dataField name="Average of Marks" fld="6"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BF8063-E257-4574-907A-FE7C7AD3B090}" autoFormatId="16" applyNumberFormats="0" applyBorderFormats="0" applyFontFormats="0" applyPatternFormats="0" applyAlignmentFormats="0" applyWidthHeightFormats="0">
  <queryTableRefresh nextId="12" unboundColumnsRight="2">
    <queryTableFields count="11">
      <queryTableField id="1" name="Student ID" tableColumnId="1"/>
      <queryTableField id="2" name="Student Name" tableColumnId="2"/>
      <queryTableField id="3" name="Gender" tableColumnId="3"/>
      <queryTableField id="4" name="Class" tableColumnId="4"/>
      <queryTableField id="5" name="Section" tableColumnId="5"/>
      <queryTableField id="6" name="Subject" tableColumnId="6"/>
      <queryTableField id="7" name="Marks" tableColumnId="7"/>
      <queryTableField id="8" name="Attendance %" tableColumnId="8"/>
      <queryTableField id="9" name="City"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F1BDAF1-55B4-4074-A048-D80CA7EDF066}" sourceName="Gender">
  <pivotTables>
    <pivotTable tabId="3" name="PivotTable1"/>
    <pivotTable tabId="5" name="PivotTable3"/>
    <pivotTable tabId="4" name="PivotTable2"/>
  </pivotTables>
  <data>
    <tabular pivotCacheId="416799400">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3D78144F-700B-47A5-ACC1-7298128CFF74}" sourceName="Class">
  <pivotTables>
    <pivotTable tabId="3" name="PivotTable1"/>
    <pivotTable tabId="5" name="PivotTable3"/>
    <pivotTable tabId="4" name="PivotTable2"/>
  </pivotTables>
  <data>
    <tabular pivotCacheId="416799400">
      <items count="8">
        <i x="2" s="1"/>
        <i x="3" s="1"/>
        <i x="0" s="1"/>
        <i x="5" s="1"/>
        <i x="4" s="1"/>
        <i x="6" s="1"/>
        <i x="1"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1" xr10:uid="{88983E64-66B9-47E9-8566-D4005CA0245C}" sourceName="Subject">
  <pivotTables>
    <pivotTable tabId="3" name="PivotTable1"/>
    <pivotTable tabId="5" name="PivotTable3"/>
    <pivotTable tabId="4" name="PivotTable2"/>
  </pivotTables>
  <data>
    <tabular pivotCacheId="416799400">
      <items count="7">
        <i x="3" s="1"/>
        <i x="1" s="1"/>
        <i x="4" s="1"/>
        <i x="2" s="1"/>
        <i x="0"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E9A3A95-BE8A-4B0B-8560-26D4C4608682}" sourceName="City">
  <pivotTables>
    <pivotTable tabId="3" name="PivotTable1"/>
    <pivotTable tabId="5" name="PivotTable3"/>
    <pivotTable tabId="4" name="PivotTable2"/>
  </pivotTables>
  <data>
    <tabular pivotCacheId="416799400">
      <items count="8">
        <i x="4" s="1"/>
        <i x="2" s="1"/>
        <i x="1" s="1"/>
        <i x="3" s="1"/>
        <i x="5" s="1"/>
        <i x="0" s="1"/>
        <i x="6"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D4582F9-330D-4672-B6D7-D420185C0B20}" cache="Slicer_Gender1" caption="Gender" rowHeight="234950"/>
  <slicer name="Class 1" xr10:uid="{27849E7E-0013-4553-AE5E-88297046C873}" cache="Slicer_Class1" caption="Class" rowHeight="234950"/>
  <slicer name="Subject 1" xr10:uid="{807A9F63-2D6A-4AEA-B415-D8CD162DD853}" cache="Slicer_Subject1" caption="Subject" startItem="2" rowHeight="234950"/>
  <slicer name="City 1" xr10:uid="{201AC19A-0978-4F72-92E9-4787EDC0FA50}" cache="Slicer_City1" caption="City" startItem="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5AB230-F056-4B35-A09D-06F4256EB622}" name="Student_Data" displayName="Student_Data" ref="A1:K1002" tableType="queryTable" totalsRowShown="0">
  <autoFilter ref="A1:K1002" xr:uid="{C75AB230-F056-4B35-A09D-06F4256EB622}"/>
  <tableColumns count="11">
    <tableColumn id="1" xr3:uid="{428C4236-B66A-42C9-9CA2-ABFC487341B5}" uniqueName="1" name="Student ID" queryTableFieldId="1" dataDxfId="7"/>
    <tableColumn id="2" xr3:uid="{FD0D9FB9-2824-4514-8488-F3073052DD0F}" uniqueName="2" name="Student Name" queryTableFieldId="2" dataDxfId="6"/>
    <tableColumn id="3" xr3:uid="{59DF092C-FD2B-4C56-B88F-A364252E9402}" uniqueName="3" name="Gender" queryTableFieldId="3" dataDxfId="5"/>
    <tableColumn id="4" xr3:uid="{65808D62-5E09-4003-8C83-53D700198700}" uniqueName="4" name="Class" queryTableFieldId="4"/>
    <tableColumn id="5" xr3:uid="{CCC12C57-94CF-4075-85F4-4F295456B4A3}" uniqueName="5" name="Section" queryTableFieldId="5" dataDxfId="4"/>
    <tableColumn id="6" xr3:uid="{CD9DF3ED-F3BA-4725-925B-97DB0C7FEFDB}" uniqueName="6" name="Subject" queryTableFieldId="6" dataDxfId="3"/>
    <tableColumn id="7" xr3:uid="{89727788-03C8-482E-BF62-F790A13FB25E}" uniqueName="7" name="Marks" queryTableFieldId="7"/>
    <tableColumn id="8" xr3:uid="{981FB3A7-D066-49E5-A7B6-E33612879ED4}" uniqueName="8" name="Attendance %" queryTableFieldId="8"/>
    <tableColumn id="9" xr3:uid="{678C407F-5C71-4181-8F16-AB02993D6670}" uniqueName="9" name="City" queryTableFieldId="9" dataDxfId="2"/>
    <tableColumn id="10" xr3:uid="{F3546C0E-17F8-461B-A02B-0576A10D5CC3}" uniqueName="10" name="Grade" queryTableFieldId="10" dataDxfId="1">
      <calculatedColumnFormula>IF(Student_Data[[#This Row],[Marks]] &gt;= 90,"A+",IF(Student_Data[[#This Row],[Marks]]&gt;=80,"A",IF(Student_Data[[#This Row],[Marks]]&gt;=70,"B",IF(Student_Data[[#This Row],[Marks]]&gt;=60,"C","F"))))</calculatedColumnFormula>
    </tableColumn>
    <tableColumn id="11" xr3:uid="{C703AC14-8A17-47C7-B894-3BDB8E1BBA19}" uniqueName="11" name="Result" queryTableFieldId="11" dataDxfId="0">
      <calculatedColumnFormula>IF(Student_Data[[#This Row],[Marks]]&gt;=35,"Pass","Fail")</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AF2B6-7D92-4D68-BD14-E4A5D4C19DE0}">
  <dimension ref="A1:B9"/>
  <sheetViews>
    <sheetView workbookViewId="0">
      <selection activeCell="M17" sqref="M17"/>
    </sheetView>
  </sheetViews>
  <sheetFormatPr defaultRowHeight="14.4" x14ac:dyDescent="0.3"/>
  <cols>
    <col min="1" max="1" width="12.5546875" bestFit="1" customWidth="1"/>
    <col min="2" max="2" width="15.88671875" bestFit="1" customWidth="1"/>
  </cols>
  <sheetData>
    <row r="1" spans="1:2" x14ac:dyDescent="0.3">
      <c r="A1" s="1" t="s">
        <v>1126</v>
      </c>
      <c r="B1" t="s">
        <v>1128</v>
      </c>
    </row>
    <row r="2" spans="1:2" x14ac:dyDescent="0.3">
      <c r="A2" s="2" t="s">
        <v>26</v>
      </c>
      <c r="B2" s="3">
        <v>66.452513966480453</v>
      </c>
    </row>
    <row r="3" spans="1:2" x14ac:dyDescent="0.3">
      <c r="A3" s="2" t="s">
        <v>18</v>
      </c>
      <c r="B3" s="3">
        <v>70.55367231638418</v>
      </c>
    </row>
    <row r="4" spans="1:2" x14ac:dyDescent="0.3">
      <c r="A4" s="2" t="s">
        <v>34</v>
      </c>
      <c r="B4" s="3">
        <v>66.751879699248121</v>
      </c>
    </row>
    <row r="5" spans="1:2" x14ac:dyDescent="0.3">
      <c r="A5" s="2" t="s">
        <v>22</v>
      </c>
      <c r="B5" s="3">
        <v>67.320652173913047</v>
      </c>
    </row>
    <row r="6" spans="1:2" x14ac:dyDescent="0.3">
      <c r="A6" s="2" t="s">
        <v>13</v>
      </c>
      <c r="B6" s="3">
        <v>66.59615384615384</v>
      </c>
    </row>
    <row r="7" spans="1:2" x14ac:dyDescent="0.3">
      <c r="A7" s="2" t="s">
        <v>43</v>
      </c>
      <c r="B7" s="3">
        <v>66.308139534883722</v>
      </c>
    </row>
    <row r="8" spans="1:2" x14ac:dyDescent="0.3">
      <c r="A8" s="2" t="s">
        <v>1135</v>
      </c>
      <c r="B8" s="3"/>
    </row>
    <row r="9" spans="1:2" x14ac:dyDescent="0.3">
      <c r="A9" s="2" t="s">
        <v>1127</v>
      </c>
      <c r="B9" s="3">
        <v>67.374625374625381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77873-ACAA-4A20-B74A-1A14DC3F7FBC}">
  <dimension ref="A1:B10"/>
  <sheetViews>
    <sheetView workbookViewId="0">
      <selection activeCell="A6" sqref="A1:B10"/>
    </sheetView>
  </sheetViews>
  <sheetFormatPr defaultRowHeight="14.4" x14ac:dyDescent="0.3"/>
  <cols>
    <col min="1" max="1" width="12.5546875" bestFit="1" customWidth="1"/>
    <col min="2" max="2" width="15.88671875" bestFit="1" customWidth="1"/>
    <col min="3" max="8" width="15.5546875" bestFit="1" customWidth="1"/>
    <col min="9" max="9" width="10.77734375" bestFit="1" customWidth="1"/>
  </cols>
  <sheetData>
    <row r="1" spans="1:2" x14ac:dyDescent="0.3">
      <c r="A1" s="1" t="s">
        <v>1126</v>
      </c>
      <c r="B1" t="s">
        <v>1128</v>
      </c>
    </row>
    <row r="2" spans="1:2" x14ac:dyDescent="0.3">
      <c r="A2" s="2">
        <v>6</v>
      </c>
      <c r="B2" s="3">
        <v>68.910958904109592</v>
      </c>
    </row>
    <row r="3" spans="1:2" x14ac:dyDescent="0.3">
      <c r="A3" s="2">
        <v>7</v>
      </c>
      <c r="B3" s="3">
        <v>69.449612403100772</v>
      </c>
    </row>
    <row r="4" spans="1:2" x14ac:dyDescent="0.3">
      <c r="A4" s="2">
        <v>8</v>
      </c>
      <c r="B4" s="3">
        <v>65.356687898089177</v>
      </c>
    </row>
    <row r="5" spans="1:2" x14ac:dyDescent="0.3">
      <c r="A5" s="2">
        <v>9</v>
      </c>
      <c r="B5" s="3">
        <v>67.014084507042256</v>
      </c>
    </row>
    <row r="6" spans="1:2" x14ac:dyDescent="0.3">
      <c r="A6" s="2">
        <v>10</v>
      </c>
      <c r="B6" s="3">
        <v>66.838926174496649</v>
      </c>
    </row>
    <row r="7" spans="1:2" x14ac:dyDescent="0.3">
      <c r="A7" s="2">
        <v>11</v>
      </c>
      <c r="B7" s="3">
        <v>66.878787878787875</v>
      </c>
    </row>
    <row r="8" spans="1:2" x14ac:dyDescent="0.3">
      <c r="A8" s="2">
        <v>12</v>
      </c>
      <c r="B8" s="3">
        <v>67.520547945205479</v>
      </c>
    </row>
    <row r="9" spans="1:2" x14ac:dyDescent="0.3">
      <c r="A9" s="2" t="s">
        <v>1135</v>
      </c>
      <c r="B9" s="3"/>
    </row>
    <row r="10" spans="1:2" x14ac:dyDescent="0.3">
      <c r="A10" s="2" t="s">
        <v>1127</v>
      </c>
      <c r="B10" s="3">
        <v>67.374625374625381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D1AE-DFAB-48ED-9A98-FE69D9FEE98B}">
  <dimension ref="A1:B10"/>
  <sheetViews>
    <sheetView workbookViewId="0">
      <selection activeCell="L12" sqref="L12"/>
    </sheetView>
  </sheetViews>
  <sheetFormatPr defaultRowHeight="14.4" x14ac:dyDescent="0.3"/>
  <cols>
    <col min="1" max="1" width="12.5546875" bestFit="1" customWidth="1"/>
    <col min="2" max="2" width="14.109375" bestFit="1" customWidth="1"/>
  </cols>
  <sheetData>
    <row r="1" spans="1:2" x14ac:dyDescent="0.3">
      <c r="A1" s="1" t="s">
        <v>1126</v>
      </c>
      <c r="B1" t="s">
        <v>1133</v>
      </c>
    </row>
    <row r="2" spans="1:2" x14ac:dyDescent="0.3">
      <c r="A2" s="2" t="s">
        <v>40</v>
      </c>
      <c r="B2" s="3">
        <v>139</v>
      </c>
    </row>
    <row r="3" spans="1:2" x14ac:dyDescent="0.3">
      <c r="A3" s="2" t="s">
        <v>31</v>
      </c>
      <c r="B3" s="3">
        <v>135</v>
      </c>
    </row>
    <row r="4" spans="1:2" x14ac:dyDescent="0.3">
      <c r="A4" s="2" t="s">
        <v>19</v>
      </c>
      <c r="B4" s="3">
        <v>159</v>
      </c>
    </row>
    <row r="5" spans="1:2" x14ac:dyDescent="0.3">
      <c r="A5" s="2" t="s">
        <v>35</v>
      </c>
      <c r="B5" s="3">
        <v>149</v>
      </c>
    </row>
    <row r="6" spans="1:2" x14ac:dyDescent="0.3">
      <c r="A6" s="2" t="s">
        <v>46</v>
      </c>
      <c r="B6" s="3">
        <v>148</v>
      </c>
    </row>
    <row r="7" spans="1:2" x14ac:dyDescent="0.3">
      <c r="A7" s="2" t="s">
        <v>14</v>
      </c>
      <c r="B7" s="3">
        <v>126</v>
      </c>
    </row>
    <row r="8" spans="1:2" x14ac:dyDescent="0.3">
      <c r="A8" s="2" t="s">
        <v>49</v>
      </c>
      <c r="B8" s="3">
        <v>145</v>
      </c>
    </row>
    <row r="9" spans="1:2" x14ac:dyDescent="0.3">
      <c r="A9" s="2" t="s">
        <v>1135</v>
      </c>
      <c r="B9" s="3"/>
    </row>
    <row r="10" spans="1:2" x14ac:dyDescent="0.3">
      <c r="A10" s="2" t="s">
        <v>1127</v>
      </c>
      <c r="B10" s="3">
        <v>1001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C3798-12B0-45AB-84F5-8530970AEF05}">
  <dimension ref="A1:K1002"/>
  <sheetViews>
    <sheetView topLeftCell="A2" zoomScale="152" workbookViewId="0">
      <selection activeCell="C6" sqref="A2:K1002"/>
    </sheetView>
  </sheetViews>
  <sheetFormatPr defaultRowHeight="14.4" x14ac:dyDescent="0.3"/>
  <cols>
    <col min="1" max="1" width="12.109375" bestFit="1" customWidth="1"/>
    <col min="2" max="2" width="15.44140625" bestFit="1" customWidth="1"/>
    <col min="3" max="3" width="9.33203125" bestFit="1" customWidth="1"/>
    <col min="4" max="4" width="7.33203125" bestFit="1" customWidth="1"/>
    <col min="5" max="5" width="9.44140625" bestFit="1" customWidth="1"/>
    <col min="6" max="6" width="9.77734375" bestFit="1" customWidth="1"/>
    <col min="7" max="7" width="8.44140625" bestFit="1" customWidth="1"/>
    <col min="8" max="8" width="14.88671875" bestFit="1" customWidth="1"/>
    <col min="9" max="9" width="12" bestFit="1" customWidth="1"/>
  </cols>
  <sheetData>
    <row r="1" spans="1:11" x14ac:dyDescent="0.3">
      <c r="A1" t="s">
        <v>0</v>
      </c>
      <c r="B1" t="s">
        <v>1</v>
      </c>
      <c r="C1" t="s">
        <v>2</v>
      </c>
      <c r="D1" t="s">
        <v>3</v>
      </c>
      <c r="E1" t="s">
        <v>4</v>
      </c>
      <c r="F1" t="s">
        <v>5</v>
      </c>
      <c r="G1" t="s">
        <v>6</v>
      </c>
      <c r="H1" t="s">
        <v>7</v>
      </c>
      <c r="I1" t="s">
        <v>8</v>
      </c>
      <c r="J1" t="s">
        <v>1124</v>
      </c>
      <c r="K1" t="s">
        <v>1125</v>
      </c>
    </row>
    <row r="2" spans="1:11" x14ac:dyDescent="0.3">
      <c r="A2" t="s">
        <v>9</v>
      </c>
      <c r="B2" t="s">
        <v>10</v>
      </c>
      <c r="C2" t="s">
        <v>11</v>
      </c>
      <c r="D2">
        <v>8</v>
      </c>
      <c r="E2" t="s">
        <v>12</v>
      </c>
      <c r="F2" t="s">
        <v>13</v>
      </c>
      <c r="G2">
        <v>36</v>
      </c>
      <c r="H2">
        <v>75</v>
      </c>
      <c r="I2" t="s">
        <v>14</v>
      </c>
      <c r="J2" t="str">
        <f>IF(Student_Data[[#This Row],[Marks]] &gt;= 90,"A+",IF(Student_Data[[#This Row],[Marks]]&gt;=80,"A",IF(Student_Data[[#This Row],[Marks]]&gt;=70,"B",IF(Student_Data[[#This Row],[Marks]]&gt;=60,"C","F"))))</f>
        <v>F</v>
      </c>
      <c r="K2" t="str">
        <f>IF(Student_Data[[#This Row],[Marks]]&gt;=35,"Pass","Fail")</f>
        <v>Pass</v>
      </c>
    </row>
    <row r="3" spans="1:11" x14ac:dyDescent="0.3">
      <c r="A3" t="s">
        <v>15</v>
      </c>
      <c r="B3" t="s">
        <v>16</v>
      </c>
      <c r="C3" t="s">
        <v>11</v>
      </c>
      <c r="D3">
        <v>12</v>
      </c>
      <c r="E3" t="s">
        <v>17</v>
      </c>
      <c r="F3" t="s">
        <v>18</v>
      </c>
      <c r="G3">
        <v>90</v>
      </c>
      <c r="H3">
        <v>97</v>
      </c>
      <c r="I3" t="s">
        <v>19</v>
      </c>
      <c r="J3" t="str">
        <f>IF(Student_Data[[#This Row],[Marks]] &gt;= 90,"A+",IF(Student_Data[[#This Row],[Marks]]&gt;=80,"A",IF(Student_Data[[#This Row],[Marks]]&gt;=70,"B",IF(Student_Data[[#This Row],[Marks]]&gt;=60,"C","F"))))</f>
        <v>A+</v>
      </c>
      <c r="K3" t="str">
        <f>IF(Student_Data[[#This Row],[Marks]]&gt;=35,"Pass","Fail")</f>
        <v>Pass</v>
      </c>
    </row>
    <row r="4" spans="1:11" x14ac:dyDescent="0.3">
      <c r="A4" t="s">
        <v>20</v>
      </c>
      <c r="B4" t="s">
        <v>21</v>
      </c>
      <c r="C4" t="s">
        <v>11</v>
      </c>
      <c r="D4">
        <v>6</v>
      </c>
      <c r="E4" t="s">
        <v>12</v>
      </c>
      <c r="F4" t="s">
        <v>22</v>
      </c>
      <c r="G4">
        <v>66</v>
      </c>
      <c r="H4">
        <v>96</v>
      </c>
      <c r="I4" t="s">
        <v>19</v>
      </c>
      <c r="J4" t="str">
        <f>IF(Student_Data[[#This Row],[Marks]] &gt;= 90,"A+",IF(Student_Data[[#This Row],[Marks]]&gt;=80,"A",IF(Student_Data[[#This Row],[Marks]]&gt;=70,"B",IF(Student_Data[[#This Row],[Marks]]&gt;=60,"C","F"))))</f>
        <v>C</v>
      </c>
      <c r="K4" t="str">
        <f>IF(Student_Data[[#This Row],[Marks]]&gt;=35,"Pass","Fail")</f>
        <v>Pass</v>
      </c>
    </row>
    <row r="5" spans="1:11" x14ac:dyDescent="0.3">
      <c r="A5" t="s">
        <v>23</v>
      </c>
      <c r="B5" t="s">
        <v>24</v>
      </c>
      <c r="C5" t="s">
        <v>25</v>
      </c>
      <c r="D5">
        <v>12</v>
      </c>
      <c r="E5" t="s">
        <v>17</v>
      </c>
      <c r="F5" t="s">
        <v>26</v>
      </c>
      <c r="G5">
        <v>71</v>
      </c>
      <c r="H5">
        <v>90</v>
      </c>
      <c r="I5" t="s">
        <v>19</v>
      </c>
      <c r="J5" t="str">
        <f>IF(Student_Data[[#This Row],[Marks]] &gt;= 90,"A+",IF(Student_Data[[#This Row],[Marks]]&gt;=80,"A",IF(Student_Data[[#This Row],[Marks]]&gt;=70,"B",IF(Student_Data[[#This Row],[Marks]]&gt;=60,"C","F"))))</f>
        <v>B</v>
      </c>
      <c r="K5" t="str">
        <f>IF(Student_Data[[#This Row],[Marks]]&gt;=35,"Pass","Fail")</f>
        <v>Pass</v>
      </c>
    </row>
    <row r="6" spans="1:11" x14ac:dyDescent="0.3">
      <c r="A6" t="s">
        <v>27</v>
      </c>
      <c r="B6" t="s">
        <v>28</v>
      </c>
      <c r="C6" t="s">
        <v>11</v>
      </c>
      <c r="D6">
        <v>7</v>
      </c>
      <c r="E6" t="s">
        <v>17</v>
      </c>
      <c r="F6" t="s">
        <v>18</v>
      </c>
      <c r="G6">
        <v>51</v>
      </c>
      <c r="H6">
        <v>100</v>
      </c>
      <c r="I6" t="s">
        <v>19</v>
      </c>
      <c r="J6" t="str">
        <f>IF(Student_Data[[#This Row],[Marks]] &gt;= 90,"A+",IF(Student_Data[[#This Row],[Marks]]&gt;=80,"A",IF(Student_Data[[#This Row],[Marks]]&gt;=70,"B",IF(Student_Data[[#This Row],[Marks]]&gt;=60,"C","F"))))</f>
        <v>F</v>
      </c>
      <c r="K6" t="str">
        <f>IF(Student_Data[[#This Row],[Marks]]&gt;=35,"Pass","Fail")</f>
        <v>Pass</v>
      </c>
    </row>
    <row r="7" spans="1:11" x14ac:dyDescent="0.3">
      <c r="A7" t="s">
        <v>29</v>
      </c>
      <c r="B7" t="s">
        <v>30</v>
      </c>
      <c r="C7" t="s">
        <v>25</v>
      </c>
      <c r="D7">
        <v>12</v>
      </c>
      <c r="E7" t="s">
        <v>12</v>
      </c>
      <c r="F7" t="s">
        <v>13</v>
      </c>
      <c r="G7">
        <v>37</v>
      </c>
      <c r="H7">
        <v>78</v>
      </c>
      <c r="I7" t="s">
        <v>31</v>
      </c>
      <c r="J7" t="str">
        <f>IF(Student_Data[[#This Row],[Marks]] &gt;= 90,"A+",IF(Student_Data[[#This Row],[Marks]]&gt;=80,"A",IF(Student_Data[[#This Row],[Marks]]&gt;=70,"B",IF(Student_Data[[#This Row],[Marks]]&gt;=60,"C","F"))))</f>
        <v>F</v>
      </c>
      <c r="K7" t="str">
        <f>IF(Student_Data[[#This Row],[Marks]]&gt;=35,"Pass","Fail")</f>
        <v>Pass</v>
      </c>
    </row>
    <row r="8" spans="1:11" x14ac:dyDescent="0.3">
      <c r="A8" t="s">
        <v>32</v>
      </c>
      <c r="B8" t="s">
        <v>10</v>
      </c>
      <c r="C8" t="s">
        <v>11</v>
      </c>
      <c r="D8">
        <v>6</v>
      </c>
      <c r="E8" t="s">
        <v>33</v>
      </c>
      <c r="F8" t="s">
        <v>34</v>
      </c>
      <c r="G8">
        <v>78</v>
      </c>
      <c r="H8">
        <v>95</v>
      </c>
      <c r="I8" t="s">
        <v>35</v>
      </c>
      <c r="J8" t="str">
        <f>IF(Student_Data[[#This Row],[Marks]] &gt;= 90,"A+",IF(Student_Data[[#This Row],[Marks]]&gt;=80,"A",IF(Student_Data[[#This Row],[Marks]]&gt;=70,"B",IF(Student_Data[[#This Row],[Marks]]&gt;=60,"C","F"))))</f>
        <v>B</v>
      </c>
      <c r="K8" t="str">
        <f>IF(Student_Data[[#This Row],[Marks]]&gt;=35,"Pass","Fail")</f>
        <v>Pass</v>
      </c>
    </row>
    <row r="9" spans="1:11" x14ac:dyDescent="0.3">
      <c r="A9" t="s">
        <v>36</v>
      </c>
      <c r="B9" t="s">
        <v>37</v>
      </c>
      <c r="C9" t="s">
        <v>11</v>
      </c>
      <c r="D9">
        <v>10</v>
      </c>
      <c r="E9" t="s">
        <v>17</v>
      </c>
      <c r="F9" t="s">
        <v>18</v>
      </c>
      <c r="G9">
        <v>45</v>
      </c>
      <c r="H9">
        <v>61</v>
      </c>
      <c r="I9" t="s">
        <v>35</v>
      </c>
      <c r="J9" t="str">
        <f>IF(Student_Data[[#This Row],[Marks]] &gt;= 90,"A+",IF(Student_Data[[#This Row],[Marks]]&gt;=80,"A",IF(Student_Data[[#This Row],[Marks]]&gt;=70,"B",IF(Student_Data[[#This Row],[Marks]]&gt;=60,"C","F"))))</f>
        <v>F</v>
      </c>
      <c r="K9" t="str">
        <f>IF(Student_Data[[#This Row],[Marks]]&gt;=35,"Pass","Fail")</f>
        <v>Pass</v>
      </c>
    </row>
    <row r="10" spans="1:11" x14ac:dyDescent="0.3">
      <c r="A10" t="s">
        <v>38</v>
      </c>
      <c r="B10" t="s">
        <v>39</v>
      </c>
      <c r="C10" t="s">
        <v>25</v>
      </c>
      <c r="D10">
        <v>9</v>
      </c>
      <c r="E10" t="s">
        <v>12</v>
      </c>
      <c r="F10" t="s">
        <v>18</v>
      </c>
      <c r="G10">
        <v>86</v>
      </c>
      <c r="H10">
        <v>90</v>
      </c>
      <c r="I10" t="s">
        <v>40</v>
      </c>
      <c r="J10" t="str">
        <f>IF(Student_Data[[#This Row],[Marks]] &gt;= 90,"A+",IF(Student_Data[[#This Row],[Marks]]&gt;=80,"A",IF(Student_Data[[#This Row],[Marks]]&gt;=70,"B",IF(Student_Data[[#This Row],[Marks]]&gt;=60,"C","F"))))</f>
        <v>A</v>
      </c>
      <c r="K10" t="str">
        <f>IF(Student_Data[[#This Row],[Marks]]&gt;=35,"Pass","Fail")</f>
        <v>Pass</v>
      </c>
    </row>
    <row r="11" spans="1:11" x14ac:dyDescent="0.3">
      <c r="A11" t="s">
        <v>41</v>
      </c>
      <c r="B11" t="s">
        <v>42</v>
      </c>
      <c r="C11" t="s">
        <v>11</v>
      </c>
      <c r="D11">
        <v>12</v>
      </c>
      <c r="E11" t="s">
        <v>33</v>
      </c>
      <c r="F11" t="s">
        <v>43</v>
      </c>
      <c r="G11">
        <v>91</v>
      </c>
      <c r="H11">
        <v>95</v>
      </c>
      <c r="I11" t="s">
        <v>31</v>
      </c>
      <c r="J11" t="str">
        <f>IF(Student_Data[[#This Row],[Marks]] &gt;= 90,"A+",IF(Student_Data[[#This Row],[Marks]]&gt;=80,"A",IF(Student_Data[[#This Row],[Marks]]&gt;=70,"B",IF(Student_Data[[#This Row],[Marks]]&gt;=60,"C","F"))))</f>
        <v>A+</v>
      </c>
      <c r="K11" t="str">
        <f>IF(Student_Data[[#This Row],[Marks]]&gt;=35,"Pass","Fail")</f>
        <v>Pass</v>
      </c>
    </row>
    <row r="12" spans="1:11" x14ac:dyDescent="0.3">
      <c r="A12" t="s">
        <v>44</v>
      </c>
      <c r="B12" t="s">
        <v>45</v>
      </c>
      <c r="C12" t="s">
        <v>11</v>
      </c>
      <c r="D12">
        <v>10</v>
      </c>
      <c r="E12" t="s">
        <v>17</v>
      </c>
      <c r="F12" t="s">
        <v>22</v>
      </c>
      <c r="G12">
        <v>95</v>
      </c>
      <c r="H12">
        <v>97</v>
      </c>
      <c r="I12" t="s">
        <v>46</v>
      </c>
      <c r="J12" t="str">
        <f>IF(Student_Data[[#This Row],[Marks]] &gt;= 90,"A+",IF(Student_Data[[#This Row],[Marks]]&gt;=80,"A",IF(Student_Data[[#This Row],[Marks]]&gt;=70,"B",IF(Student_Data[[#This Row],[Marks]]&gt;=60,"C","F"))))</f>
        <v>A+</v>
      </c>
      <c r="K12" t="str">
        <f>IF(Student_Data[[#This Row],[Marks]]&gt;=35,"Pass","Fail")</f>
        <v>Pass</v>
      </c>
    </row>
    <row r="13" spans="1:11" x14ac:dyDescent="0.3">
      <c r="A13" t="s">
        <v>47</v>
      </c>
      <c r="B13" t="s">
        <v>48</v>
      </c>
      <c r="C13" t="s">
        <v>25</v>
      </c>
      <c r="D13">
        <v>8</v>
      </c>
      <c r="E13" t="s">
        <v>12</v>
      </c>
      <c r="F13" t="s">
        <v>43</v>
      </c>
      <c r="G13">
        <v>55</v>
      </c>
      <c r="H13">
        <v>81</v>
      </c>
      <c r="I13" t="s">
        <v>49</v>
      </c>
      <c r="J13" t="str">
        <f>IF(Student_Data[[#This Row],[Marks]] &gt;= 90,"A+",IF(Student_Data[[#This Row],[Marks]]&gt;=80,"A",IF(Student_Data[[#This Row],[Marks]]&gt;=70,"B",IF(Student_Data[[#This Row],[Marks]]&gt;=60,"C","F"))))</f>
        <v>F</v>
      </c>
      <c r="K13" t="str">
        <f>IF(Student_Data[[#This Row],[Marks]]&gt;=35,"Pass","Fail")</f>
        <v>Pass</v>
      </c>
    </row>
    <row r="14" spans="1:11" x14ac:dyDescent="0.3">
      <c r="A14" t="s">
        <v>50</v>
      </c>
      <c r="B14" t="s">
        <v>51</v>
      </c>
      <c r="C14" t="s">
        <v>25</v>
      </c>
      <c r="D14">
        <v>10</v>
      </c>
      <c r="E14" t="s">
        <v>17</v>
      </c>
      <c r="F14" t="s">
        <v>18</v>
      </c>
      <c r="G14">
        <v>96</v>
      </c>
      <c r="H14">
        <v>95</v>
      </c>
      <c r="I14" t="s">
        <v>19</v>
      </c>
      <c r="J14" t="str">
        <f>IF(Student_Data[[#This Row],[Marks]] &gt;= 90,"A+",IF(Student_Data[[#This Row],[Marks]]&gt;=80,"A",IF(Student_Data[[#This Row],[Marks]]&gt;=70,"B",IF(Student_Data[[#This Row],[Marks]]&gt;=60,"C","F"))))</f>
        <v>A+</v>
      </c>
      <c r="K14" t="str">
        <f>IF(Student_Data[[#This Row],[Marks]]&gt;=35,"Pass","Fail")</f>
        <v>Pass</v>
      </c>
    </row>
    <row r="15" spans="1:11" x14ac:dyDescent="0.3">
      <c r="A15" t="s">
        <v>52</v>
      </c>
      <c r="B15" t="s">
        <v>53</v>
      </c>
      <c r="C15" t="s">
        <v>11</v>
      </c>
      <c r="D15">
        <v>11</v>
      </c>
      <c r="E15" t="s">
        <v>33</v>
      </c>
      <c r="F15" t="s">
        <v>22</v>
      </c>
      <c r="G15">
        <v>86</v>
      </c>
      <c r="H15">
        <v>65</v>
      </c>
      <c r="I15" t="s">
        <v>31</v>
      </c>
      <c r="J15" t="str">
        <f>IF(Student_Data[[#This Row],[Marks]] &gt;= 90,"A+",IF(Student_Data[[#This Row],[Marks]]&gt;=80,"A",IF(Student_Data[[#This Row],[Marks]]&gt;=70,"B",IF(Student_Data[[#This Row],[Marks]]&gt;=60,"C","F"))))</f>
        <v>A</v>
      </c>
      <c r="K15" t="str">
        <f>IF(Student_Data[[#This Row],[Marks]]&gt;=35,"Pass","Fail")</f>
        <v>Pass</v>
      </c>
    </row>
    <row r="16" spans="1:11" x14ac:dyDescent="0.3">
      <c r="A16" t="s">
        <v>54</v>
      </c>
      <c r="B16" t="s">
        <v>55</v>
      </c>
      <c r="C16" t="s">
        <v>11</v>
      </c>
      <c r="D16">
        <v>9</v>
      </c>
      <c r="E16" t="s">
        <v>17</v>
      </c>
      <c r="F16" t="s">
        <v>26</v>
      </c>
      <c r="G16">
        <v>38</v>
      </c>
      <c r="H16">
        <v>79</v>
      </c>
      <c r="I16" t="s">
        <v>14</v>
      </c>
      <c r="J16" t="str">
        <f>IF(Student_Data[[#This Row],[Marks]] &gt;= 90,"A+",IF(Student_Data[[#This Row],[Marks]]&gt;=80,"A",IF(Student_Data[[#This Row],[Marks]]&gt;=70,"B",IF(Student_Data[[#This Row],[Marks]]&gt;=60,"C","F"))))</f>
        <v>F</v>
      </c>
      <c r="K16" t="str">
        <f>IF(Student_Data[[#This Row],[Marks]]&gt;=35,"Pass","Fail")</f>
        <v>Pass</v>
      </c>
    </row>
    <row r="17" spans="1:11" x14ac:dyDescent="0.3">
      <c r="A17" t="s">
        <v>56</v>
      </c>
      <c r="B17" t="s">
        <v>57</v>
      </c>
      <c r="C17" t="s">
        <v>11</v>
      </c>
      <c r="D17">
        <v>10</v>
      </c>
      <c r="E17" t="s">
        <v>12</v>
      </c>
      <c r="F17" t="s">
        <v>43</v>
      </c>
      <c r="G17">
        <v>65</v>
      </c>
      <c r="H17">
        <v>91</v>
      </c>
      <c r="I17" t="s">
        <v>35</v>
      </c>
      <c r="J17" t="str">
        <f>IF(Student_Data[[#This Row],[Marks]] &gt;= 90,"A+",IF(Student_Data[[#This Row],[Marks]]&gt;=80,"A",IF(Student_Data[[#This Row],[Marks]]&gt;=70,"B",IF(Student_Data[[#This Row],[Marks]]&gt;=60,"C","F"))))</f>
        <v>C</v>
      </c>
      <c r="K17" t="str">
        <f>IF(Student_Data[[#This Row],[Marks]]&gt;=35,"Pass","Fail")</f>
        <v>Pass</v>
      </c>
    </row>
    <row r="18" spans="1:11" x14ac:dyDescent="0.3">
      <c r="A18" t="s">
        <v>58</v>
      </c>
      <c r="B18" t="s">
        <v>59</v>
      </c>
      <c r="C18" t="s">
        <v>11</v>
      </c>
      <c r="D18">
        <v>10</v>
      </c>
      <c r="E18" t="s">
        <v>33</v>
      </c>
      <c r="F18" t="s">
        <v>13</v>
      </c>
      <c r="G18">
        <v>65</v>
      </c>
      <c r="H18">
        <v>82</v>
      </c>
      <c r="I18" t="s">
        <v>40</v>
      </c>
      <c r="J18" t="str">
        <f>IF(Student_Data[[#This Row],[Marks]] &gt;= 90,"A+",IF(Student_Data[[#This Row],[Marks]]&gt;=80,"A",IF(Student_Data[[#This Row],[Marks]]&gt;=70,"B",IF(Student_Data[[#This Row],[Marks]]&gt;=60,"C","F"))))</f>
        <v>C</v>
      </c>
      <c r="K18" t="str">
        <f>IF(Student_Data[[#This Row],[Marks]]&gt;=35,"Pass","Fail")</f>
        <v>Pass</v>
      </c>
    </row>
    <row r="19" spans="1:11" x14ac:dyDescent="0.3">
      <c r="A19" t="s">
        <v>60</v>
      </c>
      <c r="B19" t="s">
        <v>61</v>
      </c>
      <c r="C19" t="s">
        <v>25</v>
      </c>
      <c r="D19">
        <v>8</v>
      </c>
      <c r="E19" t="s">
        <v>33</v>
      </c>
      <c r="F19" t="s">
        <v>34</v>
      </c>
      <c r="G19">
        <v>52</v>
      </c>
      <c r="H19">
        <v>65</v>
      </c>
      <c r="I19" t="s">
        <v>35</v>
      </c>
      <c r="J19" t="str">
        <f>IF(Student_Data[[#This Row],[Marks]] &gt;= 90,"A+",IF(Student_Data[[#This Row],[Marks]]&gt;=80,"A",IF(Student_Data[[#This Row],[Marks]]&gt;=70,"B",IF(Student_Data[[#This Row],[Marks]]&gt;=60,"C","F"))))</f>
        <v>F</v>
      </c>
      <c r="K19" t="str">
        <f>IF(Student_Data[[#This Row],[Marks]]&gt;=35,"Pass","Fail")</f>
        <v>Pass</v>
      </c>
    </row>
    <row r="20" spans="1:11" x14ac:dyDescent="0.3">
      <c r="A20" t="s">
        <v>62</v>
      </c>
      <c r="B20" t="s">
        <v>63</v>
      </c>
      <c r="C20" t="s">
        <v>25</v>
      </c>
      <c r="D20">
        <v>11</v>
      </c>
      <c r="E20" t="s">
        <v>33</v>
      </c>
      <c r="F20" t="s">
        <v>43</v>
      </c>
      <c r="G20">
        <v>69</v>
      </c>
      <c r="H20">
        <v>92</v>
      </c>
      <c r="I20" t="s">
        <v>46</v>
      </c>
      <c r="J20" t="str">
        <f>IF(Student_Data[[#This Row],[Marks]] &gt;= 90,"A+",IF(Student_Data[[#This Row],[Marks]]&gt;=80,"A",IF(Student_Data[[#This Row],[Marks]]&gt;=70,"B",IF(Student_Data[[#This Row],[Marks]]&gt;=60,"C","F"))))</f>
        <v>C</v>
      </c>
      <c r="K20" t="str">
        <f>IF(Student_Data[[#This Row],[Marks]]&gt;=35,"Pass","Fail")</f>
        <v>Pass</v>
      </c>
    </row>
    <row r="21" spans="1:11" x14ac:dyDescent="0.3">
      <c r="A21" t="s">
        <v>64</v>
      </c>
      <c r="B21" t="s">
        <v>21</v>
      </c>
      <c r="C21" t="s">
        <v>11</v>
      </c>
      <c r="D21">
        <v>11</v>
      </c>
      <c r="E21" t="s">
        <v>33</v>
      </c>
      <c r="F21" t="s">
        <v>18</v>
      </c>
      <c r="G21">
        <v>37</v>
      </c>
      <c r="H21">
        <v>77</v>
      </c>
      <c r="I21" t="s">
        <v>35</v>
      </c>
      <c r="J21" t="str">
        <f>IF(Student_Data[[#This Row],[Marks]] &gt;= 90,"A+",IF(Student_Data[[#This Row],[Marks]]&gt;=80,"A",IF(Student_Data[[#This Row],[Marks]]&gt;=70,"B",IF(Student_Data[[#This Row],[Marks]]&gt;=60,"C","F"))))</f>
        <v>F</v>
      </c>
      <c r="K21" t="str">
        <f>IF(Student_Data[[#This Row],[Marks]]&gt;=35,"Pass","Fail")</f>
        <v>Pass</v>
      </c>
    </row>
    <row r="22" spans="1:11" x14ac:dyDescent="0.3">
      <c r="A22" t="s">
        <v>65</v>
      </c>
      <c r="B22" t="s">
        <v>66</v>
      </c>
      <c r="C22" t="s">
        <v>25</v>
      </c>
      <c r="D22">
        <v>6</v>
      </c>
      <c r="E22" t="s">
        <v>17</v>
      </c>
      <c r="F22" t="s">
        <v>13</v>
      </c>
      <c r="G22">
        <v>85</v>
      </c>
      <c r="H22">
        <v>74</v>
      </c>
      <c r="I22" t="s">
        <v>31</v>
      </c>
      <c r="J22" t="str">
        <f>IF(Student_Data[[#This Row],[Marks]] &gt;= 90,"A+",IF(Student_Data[[#This Row],[Marks]]&gt;=80,"A",IF(Student_Data[[#This Row],[Marks]]&gt;=70,"B",IF(Student_Data[[#This Row],[Marks]]&gt;=60,"C","F"))))</f>
        <v>A</v>
      </c>
      <c r="K22" t="str">
        <f>IF(Student_Data[[#This Row],[Marks]]&gt;=35,"Pass","Fail")</f>
        <v>Pass</v>
      </c>
    </row>
    <row r="23" spans="1:11" x14ac:dyDescent="0.3">
      <c r="A23" t="s">
        <v>67</v>
      </c>
      <c r="B23" t="s">
        <v>68</v>
      </c>
      <c r="C23" t="s">
        <v>25</v>
      </c>
      <c r="D23">
        <v>12</v>
      </c>
      <c r="E23" t="s">
        <v>17</v>
      </c>
      <c r="F23" t="s">
        <v>22</v>
      </c>
      <c r="G23">
        <v>80</v>
      </c>
      <c r="H23">
        <v>78</v>
      </c>
      <c r="I23" t="s">
        <v>19</v>
      </c>
      <c r="J23" t="str">
        <f>IF(Student_Data[[#This Row],[Marks]] &gt;= 90,"A+",IF(Student_Data[[#This Row],[Marks]]&gt;=80,"A",IF(Student_Data[[#This Row],[Marks]]&gt;=70,"B",IF(Student_Data[[#This Row],[Marks]]&gt;=60,"C","F"))))</f>
        <v>A</v>
      </c>
      <c r="K23" t="str">
        <f>IF(Student_Data[[#This Row],[Marks]]&gt;=35,"Pass","Fail")</f>
        <v>Pass</v>
      </c>
    </row>
    <row r="24" spans="1:11" x14ac:dyDescent="0.3">
      <c r="A24" t="s">
        <v>69</v>
      </c>
      <c r="B24" t="s">
        <v>70</v>
      </c>
      <c r="C24" t="s">
        <v>25</v>
      </c>
      <c r="D24">
        <v>6</v>
      </c>
      <c r="E24" t="s">
        <v>17</v>
      </c>
      <c r="F24" t="s">
        <v>18</v>
      </c>
      <c r="G24">
        <v>51</v>
      </c>
      <c r="H24">
        <v>64</v>
      </c>
      <c r="I24" t="s">
        <v>19</v>
      </c>
      <c r="J24" t="str">
        <f>IF(Student_Data[[#This Row],[Marks]] &gt;= 90,"A+",IF(Student_Data[[#This Row],[Marks]]&gt;=80,"A",IF(Student_Data[[#This Row],[Marks]]&gt;=70,"B",IF(Student_Data[[#This Row],[Marks]]&gt;=60,"C","F"))))</f>
        <v>F</v>
      </c>
      <c r="K24" t="str">
        <f>IF(Student_Data[[#This Row],[Marks]]&gt;=35,"Pass","Fail")</f>
        <v>Pass</v>
      </c>
    </row>
    <row r="25" spans="1:11" x14ac:dyDescent="0.3">
      <c r="A25" t="s">
        <v>71</v>
      </c>
      <c r="B25" t="s">
        <v>72</v>
      </c>
      <c r="C25" t="s">
        <v>25</v>
      </c>
      <c r="D25">
        <v>10</v>
      </c>
      <c r="E25" t="s">
        <v>33</v>
      </c>
      <c r="F25" t="s">
        <v>43</v>
      </c>
      <c r="G25">
        <v>54</v>
      </c>
      <c r="H25">
        <v>89</v>
      </c>
      <c r="I25" t="s">
        <v>40</v>
      </c>
      <c r="J25" t="str">
        <f>IF(Student_Data[[#This Row],[Marks]] &gt;= 90,"A+",IF(Student_Data[[#This Row],[Marks]]&gt;=80,"A",IF(Student_Data[[#This Row],[Marks]]&gt;=70,"B",IF(Student_Data[[#This Row],[Marks]]&gt;=60,"C","F"))))</f>
        <v>F</v>
      </c>
      <c r="K25" t="str">
        <f>IF(Student_Data[[#This Row],[Marks]]&gt;=35,"Pass","Fail")</f>
        <v>Pass</v>
      </c>
    </row>
    <row r="26" spans="1:11" x14ac:dyDescent="0.3">
      <c r="A26" t="s">
        <v>73</v>
      </c>
      <c r="B26" t="s">
        <v>30</v>
      </c>
      <c r="C26" t="s">
        <v>11</v>
      </c>
      <c r="D26">
        <v>6</v>
      </c>
      <c r="E26" t="s">
        <v>33</v>
      </c>
      <c r="F26" t="s">
        <v>43</v>
      </c>
      <c r="G26">
        <v>76</v>
      </c>
      <c r="H26">
        <v>73</v>
      </c>
      <c r="I26" t="s">
        <v>14</v>
      </c>
      <c r="J26" t="str">
        <f>IF(Student_Data[[#This Row],[Marks]] &gt;= 90,"A+",IF(Student_Data[[#This Row],[Marks]]&gt;=80,"A",IF(Student_Data[[#This Row],[Marks]]&gt;=70,"B",IF(Student_Data[[#This Row],[Marks]]&gt;=60,"C","F"))))</f>
        <v>B</v>
      </c>
      <c r="K26" t="str">
        <f>IF(Student_Data[[#This Row],[Marks]]&gt;=35,"Pass","Fail")</f>
        <v>Pass</v>
      </c>
    </row>
    <row r="27" spans="1:11" x14ac:dyDescent="0.3">
      <c r="A27" t="s">
        <v>74</v>
      </c>
      <c r="B27" t="s">
        <v>75</v>
      </c>
      <c r="C27" t="s">
        <v>25</v>
      </c>
      <c r="D27">
        <v>11</v>
      </c>
      <c r="E27" t="s">
        <v>17</v>
      </c>
      <c r="F27" t="s">
        <v>18</v>
      </c>
      <c r="G27">
        <v>98</v>
      </c>
      <c r="H27">
        <v>69</v>
      </c>
      <c r="I27" t="s">
        <v>14</v>
      </c>
      <c r="J27" t="str">
        <f>IF(Student_Data[[#This Row],[Marks]] &gt;= 90,"A+",IF(Student_Data[[#This Row],[Marks]]&gt;=80,"A",IF(Student_Data[[#This Row],[Marks]]&gt;=70,"B",IF(Student_Data[[#This Row],[Marks]]&gt;=60,"C","F"))))</f>
        <v>A+</v>
      </c>
      <c r="K27" t="str">
        <f>IF(Student_Data[[#This Row],[Marks]]&gt;=35,"Pass","Fail")</f>
        <v>Pass</v>
      </c>
    </row>
    <row r="28" spans="1:11" x14ac:dyDescent="0.3">
      <c r="A28" t="s">
        <v>76</v>
      </c>
      <c r="B28" t="s">
        <v>77</v>
      </c>
      <c r="C28" t="s">
        <v>25</v>
      </c>
      <c r="D28">
        <v>7</v>
      </c>
      <c r="E28" t="s">
        <v>33</v>
      </c>
      <c r="F28" t="s">
        <v>34</v>
      </c>
      <c r="G28">
        <v>99</v>
      </c>
      <c r="H28">
        <v>67</v>
      </c>
      <c r="I28" t="s">
        <v>19</v>
      </c>
      <c r="J28" t="str">
        <f>IF(Student_Data[[#This Row],[Marks]] &gt;= 90,"A+",IF(Student_Data[[#This Row],[Marks]]&gt;=80,"A",IF(Student_Data[[#This Row],[Marks]]&gt;=70,"B",IF(Student_Data[[#This Row],[Marks]]&gt;=60,"C","F"))))</f>
        <v>A+</v>
      </c>
      <c r="K28" t="str">
        <f>IF(Student_Data[[#This Row],[Marks]]&gt;=35,"Pass","Fail")</f>
        <v>Pass</v>
      </c>
    </row>
    <row r="29" spans="1:11" x14ac:dyDescent="0.3">
      <c r="A29" t="s">
        <v>78</v>
      </c>
      <c r="B29" t="s">
        <v>61</v>
      </c>
      <c r="C29" t="s">
        <v>25</v>
      </c>
      <c r="D29">
        <v>11</v>
      </c>
      <c r="E29" t="s">
        <v>33</v>
      </c>
      <c r="F29" t="s">
        <v>43</v>
      </c>
      <c r="G29">
        <v>36</v>
      </c>
      <c r="H29">
        <v>74</v>
      </c>
      <c r="I29" t="s">
        <v>46</v>
      </c>
      <c r="J29" t="str">
        <f>IF(Student_Data[[#This Row],[Marks]] &gt;= 90,"A+",IF(Student_Data[[#This Row],[Marks]]&gt;=80,"A",IF(Student_Data[[#This Row],[Marks]]&gt;=70,"B",IF(Student_Data[[#This Row],[Marks]]&gt;=60,"C","F"))))</f>
        <v>F</v>
      </c>
      <c r="K29" t="str">
        <f>IF(Student_Data[[#This Row],[Marks]]&gt;=35,"Pass","Fail")</f>
        <v>Pass</v>
      </c>
    </row>
    <row r="30" spans="1:11" x14ac:dyDescent="0.3">
      <c r="A30" t="s">
        <v>79</v>
      </c>
      <c r="B30" t="s">
        <v>80</v>
      </c>
      <c r="C30" t="s">
        <v>25</v>
      </c>
      <c r="D30">
        <v>8</v>
      </c>
      <c r="E30" t="s">
        <v>12</v>
      </c>
      <c r="F30" t="s">
        <v>34</v>
      </c>
      <c r="G30">
        <v>66</v>
      </c>
      <c r="H30">
        <v>77</v>
      </c>
      <c r="I30" t="s">
        <v>35</v>
      </c>
      <c r="J30" t="str">
        <f>IF(Student_Data[[#This Row],[Marks]] &gt;= 90,"A+",IF(Student_Data[[#This Row],[Marks]]&gt;=80,"A",IF(Student_Data[[#This Row],[Marks]]&gt;=70,"B",IF(Student_Data[[#This Row],[Marks]]&gt;=60,"C","F"))))</f>
        <v>C</v>
      </c>
      <c r="K30" t="str">
        <f>IF(Student_Data[[#This Row],[Marks]]&gt;=35,"Pass","Fail")</f>
        <v>Pass</v>
      </c>
    </row>
    <row r="31" spans="1:11" x14ac:dyDescent="0.3">
      <c r="A31" t="s">
        <v>81</v>
      </c>
      <c r="B31" t="s">
        <v>82</v>
      </c>
      <c r="C31" t="s">
        <v>11</v>
      </c>
      <c r="D31">
        <v>9</v>
      </c>
      <c r="E31" t="s">
        <v>17</v>
      </c>
      <c r="F31" t="s">
        <v>22</v>
      </c>
      <c r="G31">
        <v>82</v>
      </c>
      <c r="H31">
        <v>70</v>
      </c>
      <c r="I31" t="s">
        <v>40</v>
      </c>
      <c r="J31" t="str">
        <f>IF(Student_Data[[#This Row],[Marks]] &gt;= 90,"A+",IF(Student_Data[[#This Row],[Marks]]&gt;=80,"A",IF(Student_Data[[#This Row],[Marks]]&gt;=70,"B",IF(Student_Data[[#This Row],[Marks]]&gt;=60,"C","F"))))</f>
        <v>A</v>
      </c>
      <c r="K31" t="str">
        <f>IF(Student_Data[[#This Row],[Marks]]&gt;=35,"Pass","Fail")</f>
        <v>Pass</v>
      </c>
    </row>
    <row r="32" spans="1:11" x14ac:dyDescent="0.3">
      <c r="A32" t="s">
        <v>83</v>
      </c>
      <c r="B32" t="s">
        <v>84</v>
      </c>
      <c r="C32" t="s">
        <v>11</v>
      </c>
      <c r="D32">
        <v>9</v>
      </c>
      <c r="E32" t="s">
        <v>33</v>
      </c>
      <c r="F32" t="s">
        <v>22</v>
      </c>
      <c r="G32">
        <v>40</v>
      </c>
      <c r="H32">
        <v>71</v>
      </c>
      <c r="I32" t="s">
        <v>40</v>
      </c>
      <c r="J32" t="str">
        <f>IF(Student_Data[[#This Row],[Marks]] &gt;= 90,"A+",IF(Student_Data[[#This Row],[Marks]]&gt;=80,"A",IF(Student_Data[[#This Row],[Marks]]&gt;=70,"B",IF(Student_Data[[#This Row],[Marks]]&gt;=60,"C","F"))))</f>
        <v>F</v>
      </c>
      <c r="K32" t="str">
        <f>IF(Student_Data[[#This Row],[Marks]]&gt;=35,"Pass","Fail")</f>
        <v>Pass</v>
      </c>
    </row>
    <row r="33" spans="1:11" x14ac:dyDescent="0.3">
      <c r="A33" t="s">
        <v>85</v>
      </c>
      <c r="B33" t="s">
        <v>72</v>
      </c>
      <c r="C33" t="s">
        <v>25</v>
      </c>
      <c r="D33">
        <v>10</v>
      </c>
      <c r="E33" t="s">
        <v>33</v>
      </c>
      <c r="F33" t="s">
        <v>22</v>
      </c>
      <c r="G33">
        <v>59</v>
      </c>
      <c r="H33">
        <v>86</v>
      </c>
      <c r="I33" t="s">
        <v>35</v>
      </c>
      <c r="J33" t="str">
        <f>IF(Student_Data[[#This Row],[Marks]] &gt;= 90,"A+",IF(Student_Data[[#This Row],[Marks]]&gt;=80,"A",IF(Student_Data[[#This Row],[Marks]]&gt;=70,"B",IF(Student_Data[[#This Row],[Marks]]&gt;=60,"C","F"))))</f>
        <v>F</v>
      </c>
      <c r="K33" t="str">
        <f>IF(Student_Data[[#This Row],[Marks]]&gt;=35,"Pass","Fail")</f>
        <v>Pass</v>
      </c>
    </row>
    <row r="34" spans="1:11" x14ac:dyDescent="0.3">
      <c r="A34" t="s">
        <v>86</v>
      </c>
      <c r="B34" t="s">
        <v>30</v>
      </c>
      <c r="C34" t="s">
        <v>11</v>
      </c>
      <c r="D34">
        <v>7</v>
      </c>
      <c r="E34" t="s">
        <v>33</v>
      </c>
      <c r="F34" t="s">
        <v>26</v>
      </c>
      <c r="G34">
        <v>59</v>
      </c>
      <c r="H34">
        <v>74</v>
      </c>
      <c r="I34" t="s">
        <v>14</v>
      </c>
      <c r="J34" t="str">
        <f>IF(Student_Data[[#This Row],[Marks]] &gt;= 90,"A+",IF(Student_Data[[#This Row],[Marks]]&gt;=80,"A",IF(Student_Data[[#This Row],[Marks]]&gt;=70,"B",IF(Student_Data[[#This Row],[Marks]]&gt;=60,"C","F"))))</f>
        <v>F</v>
      </c>
      <c r="K34" t="str">
        <f>IF(Student_Data[[#This Row],[Marks]]&gt;=35,"Pass","Fail")</f>
        <v>Pass</v>
      </c>
    </row>
    <row r="35" spans="1:11" x14ac:dyDescent="0.3">
      <c r="A35" t="s">
        <v>87</v>
      </c>
      <c r="B35" t="s">
        <v>88</v>
      </c>
      <c r="C35" t="s">
        <v>11</v>
      </c>
      <c r="D35">
        <v>11</v>
      </c>
      <c r="E35" t="s">
        <v>12</v>
      </c>
      <c r="F35" t="s">
        <v>18</v>
      </c>
      <c r="G35">
        <v>38</v>
      </c>
      <c r="H35">
        <v>63</v>
      </c>
      <c r="I35" t="s">
        <v>14</v>
      </c>
      <c r="J35" t="str">
        <f>IF(Student_Data[[#This Row],[Marks]] &gt;= 90,"A+",IF(Student_Data[[#This Row],[Marks]]&gt;=80,"A",IF(Student_Data[[#This Row],[Marks]]&gt;=70,"B",IF(Student_Data[[#This Row],[Marks]]&gt;=60,"C","F"))))</f>
        <v>F</v>
      </c>
      <c r="K35" t="str">
        <f>IF(Student_Data[[#This Row],[Marks]]&gt;=35,"Pass","Fail")</f>
        <v>Pass</v>
      </c>
    </row>
    <row r="36" spans="1:11" x14ac:dyDescent="0.3">
      <c r="A36" t="s">
        <v>89</v>
      </c>
      <c r="B36" t="s">
        <v>90</v>
      </c>
      <c r="C36" t="s">
        <v>11</v>
      </c>
      <c r="D36">
        <v>7</v>
      </c>
      <c r="E36" t="s">
        <v>33</v>
      </c>
      <c r="F36" t="s">
        <v>34</v>
      </c>
      <c r="G36">
        <v>42</v>
      </c>
      <c r="H36">
        <v>88</v>
      </c>
      <c r="I36" t="s">
        <v>46</v>
      </c>
      <c r="J36" t="str">
        <f>IF(Student_Data[[#This Row],[Marks]] &gt;= 90,"A+",IF(Student_Data[[#This Row],[Marks]]&gt;=80,"A",IF(Student_Data[[#This Row],[Marks]]&gt;=70,"B",IF(Student_Data[[#This Row],[Marks]]&gt;=60,"C","F"))))</f>
        <v>F</v>
      </c>
      <c r="K36" t="str">
        <f>IF(Student_Data[[#This Row],[Marks]]&gt;=35,"Pass","Fail")</f>
        <v>Pass</v>
      </c>
    </row>
    <row r="37" spans="1:11" x14ac:dyDescent="0.3">
      <c r="A37" t="s">
        <v>91</v>
      </c>
      <c r="B37" t="s">
        <v>10</v>
      </c>
      <c r="C37" t="s">
        <v>11</v>
      </c>
      <c r="D37">
        <v>10</v>
      </c>
      <c r="E37" t="s">
        <v>17</v>
      </c>
      <c r="F37" t="s">
        <v>43</v>
      </c>
      <c r="G37">
        <v>73</v>
      </c>
      <c r="H37">
        <v>85</v>
      </c>
      <c r="I37" t="s">
        <v>19</v>
      </c>
      <c r="J37" t="str">
        <f>IF(Student_Data[[#This Row],[Marks]] &gt;= 90,"A+",IF(Student_Data[[#This Row],[Marks]]&gt;=80,"A",IF(Student_Data[[#This Row],[Marks]]&gt;=70,"B",IF(Student_Data[[#This Row],[Marks]]&gt;=60,"C","F"))))</f>
        <v>B</v>
      </c>
      <c r="K37" t="str">
        <f>IF(Student_Data[[#This Row],[Marks]]&gt;=35,"Pass","Fail")</f>
        <v>Pass</v>
      </c>
    </row>
    <row r="38" spans="1:11" x14ac:dyDescent="0.3">
      <c r="A38" t="s">
        <v>92</v>
      </c>
      <c r="B38" t="s">
        <v>37</v>
      </c>
      <c r="C38" t="s">
        <v>25</v>
      </c>
      <c r="D38">
        <v>11</v>
      </c>
      <c r="E38" t="s">
        <v>12</v>
      </c>
      <c r="F38" t="s">
        <v>26</v>
      </c>
      <c r="G38">
        <v>54</v>
      </c>
      <c r="H38">
        <v>98</v>
      </c>
      <c r="I38" t="s">
        <v>31</v>
      </c>
      <c r="J38" t="str">
        <f>IF(Student_Data[[#This Row],[Marks]] &gt;= 90,"A+",IF(Student_Data[[#This Row],[Marks]]&gt;=80,"A",IF(Student_Data[[#This Row],[Marks]]&gt;=70,"B",IF(Student_Data[[#This Row],[Marks]]&gt;=60,"C","F"))))</f>
        <v>F</v>
      </c>
      <c r="K38" t="str">
        <f>IF(Student_Data[[#This Row],[Marks]]&gt;=35,"Pass","Fail")</f>
        <v>Pass</v>
      </c>
    </row>
    <row r="39" spans="1:11" x14ac:dyDescent="0.3">
      <c r="A39" t="s">
        <v>93</v>
      </c>
      <c r="B39" t="s">
        <v>94</v>
      </c>
      <c r="C39" t="s">
        <v>25</v>
      </c>
      <c r="D39">
        <v>12</v>
      </c>
      <c r="E39" t="s">
        <v>33</v>
      </c>
      <c r="F39" t="s">
        <v>26</v>
      </c>
      <c r="G39">
        <v>72</v>
      </c>
      <c r="H39">
        <v>82</v>
      </c>
      <c r="I39" t="s">
        <v>46</v>
      </c>
      <c r="J39" t="str">
        <f>IF(Student_Data[[#This Row],[Marks]] &gt;= 90,"A+",IF(Student_Data[[#This Row],[Marks]]&gt;=80,"A",IF(Student_Data[[#This Row],[Marks]]&gt;=70,"B",IF(Student_Data[[#This Row],[Marks]]&gt;=60,"C","F"))))</f>
        <v>B</v>
      </c>
      <c r="K39" t="str">
        <f>IF(Student_Data[[#This Row],[Marks]]&gt;=35,"Pass","Fail")</f>
        <v>Pass</v>
      </c>
    </row>
    <row r="40" spans="1:11" x14ac:dyDescent="0.3">
      <c r="A40" t="s">
        <v>95</v>
      </c>
      <c r="B40" t="s">
        <v>96</v>
      </c>
      <c r="C40" t="s">
        <v>11</v>
      </c>
      <c r="D40">
        <v>6</v>
      </c>
      <c r="E40" t="s">
        <v>12</v>
      </c>
      <c r="F40" t="s">
        <v>43</v>
      </c>
      <c r="G40">
        <v>99</v>
      </c>
      <c r="H40">
        <v>81</v>
      </c>
      <c r="I40" t="s">
        <v>31</v>
      </c>
      <c r="J40" t="str">
        <f>IF(Student_Data[[#This Row],[Marks]] &gt;= 90,"A+",IF(Student_Data[[#This Row],[Marks]]&gt;=80,"A",IF(Student_Data[[#This Row],[Marks]]&gt;=70,"B",IF(Student_Data[[#This Row],[Marks]]&gt;=60,"C","F"))))</f>
        <v>A+</v>
      </c>
      <c r="K40" t="str">
        <f>IF(Student_Data[[#This Row],[Marks]]&gt;=35,"Pass","Fail")</f>
        <v>Pass</v>
      </c>
    </row>
    <row r="41" spans="1:11" x14ac:dyDescent="0.3">
      <c r="A41" t="s">
        <v>97</v>
      </c>
      <c r="B41" t="s">
        <v>57</v>
      </c>
      <c r="C41" t="s">
        <v>11</v>
      </c>
      <c r="D41">
        <v>9</v>
      </c>
      <c r="E41" t="s">
        <v>12</v>
      </c>
      <c r="F41" t="s">
        <v>22</v>
      </c>
      <c r="G41">
        <v>37</v>
      </c>
      <c r="H41">
        <v>92</v>
      </c>
      <c r="I41" t="s">
        <v>46</v>
      </c>
      <c r="J41" t="str">
        <f>IF(Student_Data[[#This Row],[Marks]] &gt;= 90,"A+",IF(Student_Data[[#This Row],[Marks]]&gt;=80,"A",IF(Student_Data[[#This Row],[Marks]]&gt;=70,"B",IF(Student_Data[[#This Row],[Marks]]&gt;=60,"C","F"))))</f>
        <v>F</v>
      </c>
      <c r="K41" t="str">
        <f>IF(Student_Data[[#This Row],[Marks]]&gt;=35,"Pass","Fail")</f>
        <v>Pass</v>
      </c>
    </row>
    <row r="42" spans="1:11" x14ac:dyDescent="0.3">
      <c r="A42" t="s">
        <v>98</v>
      </c>
      <c r="B42" t="s">
        <v>84</v>
      </c>
      <c r="C42" t="s">
        <v>11</v>
      </c>
      <c r="D42">
        <v>8</v>
      </c>
      <c r="E42" t="s">
        <v>12</v>
      </c>
      <c r="F42" t="s">
        <v>43</v>
      </c>
      <c r="G42">
        <v>80</v>
      </c>
      <c r="H42">
        <v>82</v>
      </c>
      <c r="I42" t="s">
        <v>35</v>
      </c>
      <c r="J42" t="str">
        <f>IF(Student_Data[[#This Row],[Marks]] &gt;= 90,"A+",IF(Student_Data[[#This Row],[Marks]]&gt;=80,"A",IF(Student_Data[[#This Row],[Marks]]&gt;=70,"B",IF(Student_Data[[#This Row],[Marks]]&gt;=60,"C","F"))))</f>
        <v>A</v>
      </c>
      <c r="K42" t="str">
        <f>IF(Student_Data[[#This Row],[Marks]]&gt;=35,"Pass","Fail")</f>
        <v>Pass</v>
      </c>
    </row>
    <row r="43" spans="1:11" x14ac:dyDescent="0.3">
      <c r="A43" t="s">
        <v>99</v>
      </c>
      <c r="B43" t="s">
        <v>100</v>
      </c>
      <c r="C43" t="s">
        <v>25</v>
      </c>
      <c r="D43">
        <v>6</v>
      </c>
      <c r="E43" t="s">
        <v>12</v>
      </c>
      <c r="F43" t="s">
        <v>43</v>
      </c>
      <c r="G43">
        <v>77</v>
      </c>
      <c r="H43">
        <v>67</v>
      </c>
      <c r="I43" t="s">
        <v>40</v>
      </c>
      <c r="J43" t="str">
        <f>IF(Student_Data[[#This Row],[Marks]] &gt;= 90,"A+",IF(Student_Data[[#This Row],[Marks]]&gt;=80,"A",IF(Student_Data[[#This Row],[Marks]]&gt;=70,"B",IF(Student_Data[[#This Row],[Marks]]&gt;=60,"C","F"))))</f>
        <v>B</v>
      </c>
      <c r="K43" t="str">
        <f>IF(Student_Data[[#This Row],[Marks]]&gt;=35,"Pass","Fail")</f>
        <v>Pass</v>
      </c>
    </row>
    <row r="44" spans="1:11" x14ac:dyDescent="0.3">
      <c r="A44" t="s">
        <v>101</v>
      </c>
      <c r="B44" t="s">
        <v>102</v>
      </c>
      <c r="C44" t="s">
        <v>11</v>
      </c>
      <c r="D44">
        <v>9</v>
      </c>
      <c r="E44" t="s">
        <v>12</v>
      </c>
      <c r="F44" t="s">
        <v>22</v>
      </c>
      <c r="G44">
        <v>65</v>
      </c>
      <c r="H44">
        <v>70</v>
      </c>
      <c r="I44" t="s">
        <v>19</v>
      </c>
      <c r="J44" t="str">
        <f>IF(Student_Data[[#This Row],[Marks]] &gt;= 90,"A+",IF(Student_Data[[#This Row],[Marks]]&gt;=80,"A",IF(Student_Data[[#This Row],[Marks]]&gt;=70,"B",IF(Student_Data[[#This Row],[Marks]]&gt;=60,"C","F"))))</f>
        <v>C</v>
      </c>
      <c r="K44" t="str">
        <f>IF(Student_Data[[#This Row],[Marks]]&gt;=35,"Pass","Fail")</f>
        <v>Pass</v>
      </c>
    </row>
    <row r="45" spans="1:11" x14ac:dyDescent="0.3">
      <c r="A45" t="s">
        <v>103</v>
      </c>
      <c r="B45" t="s">
        <v>104</v>
      </c>
      <c r="C45" t="s">
        <v>11</v>
      </c>
      <c r="D45">
        <v>8</v>
      </c>
      <c r="E45" t="s">
        <v>12</v>
      </c>
      <c r="F45" t="s">
        <v>26</v>
      </c>
      <c r="G45">
        <v>55</v>
      </c>
      <c r="H45">
        <v>80</v>
      </c>
      <c r="I45" t="s">
        <v>35</v>
      </c>
      <c r="J45" t="str">
        <f>IF(Student_Data[[#This Row],[Marks]] &gt;= 90,"A+",IF(Student_Data[[#This Row],[Marks]]&gt;=80,"A",IF(Student_Data[[#This Row],[Marks]]&gt;=70,"B",IF(Student_Data[[#This Row],[Marks]]&gt;=60,"C","F"))))</f>
        <v>F</v>
      </c>
      <c r="K45" t="str">
        <f>IF(Student_Data[[#This Row],[Marks]]&gt;=35,"Pass","Fail")</f>
        <v>Pass</v>
      </c>
    </row>
    <row r="46" spans="1:11" x14ac:dyDescent="0.3">
      <c r="A46" t="s">
        <v>105</v>
      </c>
      <c r="B46" t="s">
        <v>28</v>
      </c>
      <c r="C46" t="s">
        <v>11</v>
      </c>
      <c r="D46">
        <v>12</v>
      </c>
      <c r="E46" t="s">
        <v>33</v>
      </c>
      <c r="F46" t="s">
        <v>26</v>
      </c>
      <c r="G46">
        <v>71</v>
      </c>
      <c r="H46">
        <v>87</v>
      </c>
      <c r="I46" t="s">
        <v>19</v>
      </c>
      <c r="J46" t="str">
        <f>IF(Student_Data[[#This Row],[Marks]] &gt;= 90,"A+",IF(Student_Data[[#This Row],[Marks]]&gt;=80,"A",IF(Student_Data[[#This Row],[Marks]]&gt;=70,"B",IF(Student_Data[[#This Row],[Marks]]&gt;=60,"C","F"))))</f>
        <v>B</v>
      </c>
      <c r="K46" t="str">
        <f>IF(Student_Data[[#This Row],[Marks]]&gt;=35,"Pass","Fail")</f>
        <v>Pass</v>
      </c>
    </row>
    <row r="47" spans="1:11" x14ac:dyDescent="0.3">
      <c r="A47" t="s">
        <v>106</v>
      </c>
      <c r="B47" t="s">
        <v>107</v>
      </c>
      <c r="C47" t="s">
        <v>25</v>
      </c>
      <c r="D47">
        <v>6</v>
      </c>
      <c r="E47" t="s">
        <v>12</v>
      </c>
      <c r="F47" t="s">
        <v>26</v>
      </c>
      <c r="G47">
        <v>50</v>
      </c>
      <c r="H47">
        <v>94</v>
      </c>
      <c r="I47" t="s">
        <v>46</v>
      </c>
      <c r="J47" t="str">
        <f>IF(Student_Data[[#This Row],[Marks]] &gt;= 90,"A+",IF(Student_Data[[#This Row],[Marks]]&gt;=80,"A",IF(Student_Data[[#This Row],[Marks]]&gt;=70,"B",IF(Student_Data[[#This Row],[Marks]]&gt;=60,"C","F"))))</f>
        <v>F</v>
      </c>
      <c r="K47" t="str">
        <f>IF(Student_Data[[#This Row],[Marks]]&gt;=35,"Pass","Fail")</f>
        <v>Pass</v>
      </c>
    </row>
    <row r="48" spans="1:11" x14ac:dyDescent="0.3">
      <c r="A48" t="s">
        <v>108</v>
      </c>
      <c r="B48" t="s">
        <v>109</v>
      </c>
      <c r="C48" t="s">
        <v>25</v>
      </c>
      <c r="D48">
        <v>10</v>
      </c>
      <c r="E48" t="s">
        <v>17</v>
      </c>
      <c r="F48" t="s">
        <v>43</v>
      </c>
      <c r="G48">
        <v>59</v>
      </c>
      <c r="H48">
        <v>89</v>
      </c>
      <c r="I48" t="s">
        <v>49</v>
      </c>
      <c r="J48" t="str">
        <f>IF(Student_Data[[#This Row],[Marks]] &gt;= 90,"A+",IF(Student_Data[[#This Row],[Marks]]&gt;=80,"A",IF(Student_Data[[#This Row],[Marks]]&gt;=70,"B",IF(Student_Data[[#This Row],[Marks]]&gt;=60,"C","F"))))</f>
        <v>F</v>
      </c>
      <c r="K48" t="str">
        <f>IF(Student_Data[[#This Row],[Marks]]&gt;=35,"Pass","Fail")</f>
        <v>Pass</v>
      </c>
    </row>
    <row r="49" spans="1:11" x14ac:dyDescent="0.3">
      <c r="A49" t="s">
        <v>110</v>
      </c>
      <c r="B49" t="s">
        <v>80</v>
      </c>
      <c r="C49" t="s">
        <v>11</v>
      </c>
      <c r="D49">
        <v>6</v>
      </c>
      <c r="E49" t="s">
        <v>12</v>
      </c>
      <c r="F49" t="s">
        <v>22</v>
      </c>
      <c r="G49">
        <v>95</v>
      </c>
      <c r="H49">
        <v>84</v>
      </c>
      <c r="I49" t="s">
        <v>19</v>
      </c>
      <c r="J49" t="str">
        <f>IF(Student_Data[[#This Row],[Marks]] &gt;= 90,"A+",IF(Student_Data[[#This Row],[Marks]]&gt;=80,"A",IF(Student_Data[[#This Row],[Marks]]&gt;=70,"B",IF(Student_Data[[#This Row],[Marks]]&gt;=60,"C","F"))))</f>
        <v>A+</v>
      </c>
      <c r="K49" t="str">
        <f>IF(Student_Data[[#This Row],[Marks]]&gt;=35,"Pass","Fail")</f>
        <v>Pass</v>
      </c>
    </row>
    <row r="50" spans="1:11" x14ac:dyDescent="0.3">
      <c r="A50" t="s">
        <v>111</v>
      </c>
      <c r="B50" t="s">
        <v>112</v>
      </c>
      <c r="C50" t="s">
        <v>11</v>
      </c>
      <c r="D50">
        <v>8</v>
      </c>
      <c r="E50" t="s">
        <v>33</v>
      </c>
      <c r="F50" t="s">
        <v>22</v>
      </c>
      <c r="G50">
        <v>88</v>
      </c>
      <c r="H50">
        <v>73</v>
      </c>
      <c r="I50" t="s">
        <v>19</v>
      </c>
      <c r="J50" t="str">
        <f>IF(Student_Data[[#This Row],[Marks]] &gt;= 90,"A+",IF(Student_Data[[#This Row],[Marks]]&gt;=80,"A",IF(Student_Data[[#This Row],[Marks]]&gt;=70,"B",IF(Student_Data[[#This Row],[Marks]]&gt;=60,"C","F"))))</f>
        <v>A</v>
      </c>
      <c r="K50" t="str">
        <f>IF(Student_Data[[#This Row],[Marks]]&gt;=35,"Pass","Fail")</f>
        <v>Pass</v>
      </c>
    </row>
    <row r="51" spans="1:11" x14ac:dyDescent="0.3">
      <c r="A51" t="s">
        <v>113</v>
      </c>
      <c r="B51" t="s">
        <v>114</v>
      </c>
      <c r="C51" t="s">
        <v>25</v>
      </c>
      <c r="D51">
        <v>10</v>
      </c>
      <c r="E51" t="s">
        <v>33</v>
      </c>
      <c r="F51" t="s">
        <v>22</v>
      </c>
      <c r="G51">
        <v>80</v>
      </c>
      <c r="H51">
        <v>79</v>
      </c>
      <c r="I51" t="s">
        <v>14</v>
      </c>
      <c r="J51" t="str">
        <f>IF(Student_Data[[#This Row],[Marks]] &gt;= 90,"A+",IF(Student_Data[[#This Row],[Marks]]&gt;=80,"A",IF(Student_Data[[#This Row],[Marks]]&gt;=70,"B",IF(Student_Data[[#This Row],[Marks]]&gt;=60,"C","F"))))</f>
        <v>A</v>
      </c>
      <c r="K51" t="str">
        <f>IF(Student_Data[[#This Row],[Marks]]&gt;=35,"Pass","Fail")</f>
        <v>Pass</v>
      </c>
    </row>
    <row r="52" spans="1:11" x14ac:dyDescent="0.3">
      <c r="A52" t="s">
        <v>115</v>
      </c>
      <c r="B52" t="s">
        <v>116</v>
      </c>
      <c r="C52" t="s">
        <v>11</v>
      </c>
      <c r="D52">
        <v>10</v>
      </c>
      <c r="E52" t="s">
        <v>12</v>
      </c>
      <c r="F52" t="s">
        <v>18</v>
      </c>
      <c r="G52">
        <v>73</v>
      </c>
      <c r="H52">
        <v>63</v>
      </c>
      <c r="I52" t="s">
        <v>14</v>
      </c>
      <c r="J52" t="str">
        <f>IF(Student_Data[[#This Row],[Marks]] &gt;= 90,"A+",IF(Student_Data[[#This Row],[Marks]]&gt;=80,"A",IF(Student_Data[[#This Row],[Marks]]&gt;=70,"B",IF(Student_Data[[#This Row],[Marks]]&gt;=60,"C","F"))))</f>
        <v>B</v>
      </c>
      <c r="K52" t="str">
        <f>IF(Student_Data[[#This Row],[Marks]]&gt;=35,"Pass","Fail")</f>
        <v>Pass</v>
      </c>
    </row>
    <row r="53" spans="1:11" x14ac:dyDescent="0.3">
      <c r="A53" t="s">
        <v>117</v>
      </c>
      <c r="B53" t="s">
        <v>118</v>
      </c>
      <c r="C53" t="s">
        <v>25</v>
      </c>
      <c r="D53">
        <v>7</v>
      </c>
      <c r="E53" t="s">
        <v>12</v>
      </c>
      <c r="F53" t="s">
        <v>26</v>
      </c>
      <c r="G53">
        <v>66</v>
      </c>
      <c r="H53">
        <v>91</v>
      </c>
      <c r="I53" t="s">
        <v>49</v>
      </c>
      <c r="J53" t="str">
        <f>IF(Student_Data[[#This Row],[Marks]] &gt;= 90,"A+",IF(Student_Data[[#This Row],[Marks]]&gt;=80,"A",IF(Student_Data[[#This Row],[Marks]]&gt;=70,"B",IF(Student_Data[[#This Row],[Marks]]&gt;=60,"C","F"))))</f>
        <v>C</v>
      </c>
      <c r="K53" t="str">
        <f>IF(Student_Data[[#This Row],[Marks]]&gt;=35,"Pass","Fail")</f>
        <v>Pass</v>
      </c>
    </row>
    <row r="54" spans="1:11" x14ac:dyDescent="0.3">
      <c r="A54" t="s">
        <v>119</v>
      </c>
      <c r="B54" t="s">
        <v>42</v>
      </c>
      <c r="C54" t="s">
        <v>11</v>
      </c>
      <c r="D54">
        <v>6</v>
      </c>
      <c r="E54" t="s">
        <v>33</v>
      </c>
      <c r="F54" t="s">
        <v>18</v>
      </c>
      <c r="G54">
        <v>93</v>
      </c>
      <c r="H54">
        <v>89</v>
      </c>
      <c r="I54" t="s">
        <v>40</v>
      </c>
      <c r="J54" t="str">
        <f>IF(Student_Data[[#This Row],[Marks]] &gt;= 90,"A+",IF(Student_Data[[#This Row],[Marks]]&gt;=80,"A",IF(Student_Data[[#This Row],[Marks]]&gt;=70,"B",IF(Student_Data[[#This Row],[Marks]]&gt;=60,"C","F"))))</f>
        <v>A+</v>
      </c>
      <c r="K54" t="str">
        <f>IF(Student_Data[[#This Row],[Marks]]&gt;=35,"Pass","Fail")</f>
        <v>Pass</v>
      </c>
    </row>
    <row r="55" spans="1:11" x14ac:dyDescent="0.3">
      <c r="A55" t="s">
        <v>120</v>
      </c>
      <c r="B55" t="s">
        <v>121</v>
      </c>
      <c r="C55" t="s">
        <v>25</v>
      </c>
      <c r="D55">
        <v>9</v>
      </c>
      <c r="E55" t="s">
        <v>33</v>
      </c>
      <c r="F55" t="s">
        <v>34</v>
      </c>
      <c r="G55">
        <v>75</v>
      </c>
      <c r="H55">
        <v>89</v>
      </c>
      <c r="I55" t="s">
        <v>49</v>
      </c>
      <c r="J55" t="str">
        <f>IF(Student_Data[[#This Row],[Marks]] &gt;= 90,"A+",IF(Student_Data[[#This Row],[Marks]]&gt;=80,"A",IF(Student_Data[[#This Row],[Marks]]&gt;=70,"B",IF(Student_Data[[#This Row],[Marks]]&gt;=60,"C","F"))))</f>
        <v>B</v>
      </c>
      <c r="K55" t="str">
        <f>IF(Student_Data[[#This Row],[Marks]]&gt;=35,"Pass","Fail")</f>
        <v>Pass</v>
      </c>
    </row>
    <row r="56" spans="1:11" x14ac:dyDescent="0.3">
      <c r="A56" t="s">
        <v>122</v>
      </c>
      <c r="B56" t="s">
        <v>123</v>
      </c>
      <c r="C56" t="s">
        <v>11</v>
      </c>
      <c r="D56">
        <v>8</v>
      </c>
      <c r="E56" t="s">
        <v>33</v>
      </c>
      <c r="F56" t="s">
        <v>22</v>
      </c>
      <c r="G56">
        <v>82</v>
      </c>
      <c r="H56">
        <v>100</v>
      </c>
      <c r="I56" t="s">
        <v>31</v>
      </c>
      <c r="J56" t="str">
        <f>IF(Student_Data[[#This Row],[Marks]] &gt;= 90,"A+",IF(Student_Data[[#This Row],[Marks]]&gt;=80,"A",IF(Student_Data[[#This Row],[Marks]]&gt;=70,"B",IF(Student_Data[[#This Row],[Marks]]&gt;=60,"C","F"))))</f>
        <v>A</v>
      </c>
      <c r="K56" t="str">
        <f>IF(Student_Data[[#This Row],[Marks]]&gt;=35,"Pass","Fail")</f>
        <v>Pass</v>
      </c>
    </row>
    <row r="57" spans="1:11" x14ac:dyDescent="0.3">
      <c r="A57" t="s">
        <v>124</v>
      </c>
      <c r="B57" t="s">
        <v>88</v>
      </c>
      <c r="C57" t="s">
        <v>25</v>
      </c>
      <c r="D57">
        <v>10</v>
      </c>
      <c r="E57" t="s">
        <v>33</v>
      </c>
      <c r="F57" t="s">
        <v>34</v>
      </c>
      <c r="G57">
        <v>98</v>
      </c>
      <c r="H57">
        <v>98</v>
      </c>
      <c r="I57" t="s">
        <v>31</v>
      </c>
      <c r="J57" t="str">
        <f>IF(Student_Data[[#This Row],[Marks]] &gt;= 90,"A+",IF(Student_Data[[#This Row],[Marks]]&gt;=80,"A",IF(Student_Data[[#This Row],[Marks]]&gt;=70,"B",IF(Student_Data[[#This Row],[Marks]]&gt;=60,"C","F"))))</f>
        <v>A+</v>
      </c>
      <c r="K57" t="str">
        <f>IF(Student_Data[[#This Row],[Marks]]&gt;=35,"Pass","Fail")</f>
        <v>Pass</v>
      </c>
    </row>
    <row r="58" spans="1:11" x14ac:dyDescent="0.3">
      <c r="A58" t="s">
        <v>125</v>
      </c>
      <c r="B58" t="s">
        <v>126</v>
      </c>
      <c r="C58" t="s">
        <v>25</v>
      </c>
      <c r="D58">
        <v>8</v>
      </c>
      <c r="E58" t="s">
        <v>12</v>
      </c>
      <c r="F58" t="s">
        <v>26</v>
      </c>
      <c r="G58">
        <v>58</v>
      </c>
      <c r="H58">
        <v>89</v>
      </c>
      <c r="I58" t="s">
        <v>19</v>
      </c>
      <c r="J58" t="str">
        <f>IF(Student_Data[[#This Row],[Marks]] &gt;= 90,"A+",IF(Student_Data[[#This Row],[Marks]]&gt;=80,"A",IF(Student_Data[[#This Row],[Marks]]&gt;=70,"B",IF(Student_Data[[#This Row],[Marks]]&gt;=60,"C","F"))))</f>
        <v>F</v>
      </c>
      <c r="K58" t="str">
        <f>IF(Student_Data[[#This Row],[Marks]]&gt;=35,"Pass","Fail")</f>
        <v>Pass</v>
      </c>
    </row>
    <row r="59" spans="1:11" x14ac:dyDescent="0.3">
      <c r="A59" t="s">
        <v>127</v>
      </c>
      <c r="B59" t="s">
        <v>121</v>
      </c>
      <c r="C59" t="s">
        <v>11</v>
      </c>
      <c r="D59">
        <v>12</v>
      </c>
      <c r="E59" t="s">
        <v>33</v>
      </c>
      <c r="F59" t="s">
        <v>13</v>
      </c>
      <c r="G59">
        <v>59</v>
      </c>
      <c r="H59">
        <v>97</v>
      </c>
      <c r="I59" t="s">
        <v>31</v>
      </c>
      <c r="J59" t="str">
        <f>IF(Student_Data[[#This Row],[Marks]] &gt;= 90,"A+",IF(Student_Data[[#This Row],[Marks]]&gt;=80,"A",IF(Student_Data[[#This Row],[Marks]]&gt;=70,"B",IF(Student_Data[[#This Row],[Marks]]&gt;=60,"C","F"))))</f>
        <v>F</v>
      </c>
      <c r="K59" t="str">
        <f>IF(Student_Data[[#This Row],[Marks]]&gt;=35,"Pass","Fail")</f>
        <v>Pass</v>
      </c>
    </row>
    <row r="60" spans="1:11" x14ac:dyDescent="0.3">
      <c r="A60" t="s">
        <v>128</v>
      </c>
      <c r="B60" t="s">
        <v>129</v>
      </c>
      <c r="C60" t="s">
        <v>25</v>
      </c>
      <c r="D60">
        <v>9</v>
      </c>
      <c r="E60" t="s">
        <v>12</v>
      </c>
      <c r="F60" t="s">
        <v>22</v>
      </c>
      <c r="G60">
        <v>75</v>
      </c>
      <c r="H60">
        <v>95</v>
      </c>
      <c r="I60" t="s">
        <v>40</v>
      </c>
      <c r="J60" t="str">
        <f>IF(Student_Data[[#This Row],[Marks]] &gt;= 90,"A+",IF(Student_Data[[#This Row],[Marks]]&gt;=80,"A",IF(Student_Data[[#This Row],[Marks]]&gt;=70,"B",IF(Student_Data[[#This Row],[Marks]]&gt;=60,"C","F"))))</f>
        <v>B</v>
      </c>
      <c r="K60" t="str">
        <f>IF(Student_Data[[#This Row],[Marks]]&gt;=35,"Pass","Fail")</f>
        <v>Pass</v>
      </c>
    </row>
    <row r="61" spans="1:11" x14ac:dyDescent="0.3">
      <c r="A61" t="s">
        <v>130</v>
      </c>
      <c r="B61" t="s">
        <v>68</v>
      </c>
      <c r="C61" t="s">
        <v>11</v>
      </c>
      <c r="D61">
        <v>7</v>
      </c>
      <c r="E61" t="s">
        <v>12</v>
      </c>
      <c r="F61" t="s">
        <v>13</v>
      </c>
      <c r="G61">
        <v>59</v>
      </c>
      <c r="H61">
        <v>76</v>
      </c>
      <c r="I61" t="s">
        <v>31</v>
      </c>
      <c r="J61" t="str">
        <f>IF(Student_Data[[#This Row],[Marks]] &gt;= 90,"A+",IF(Student_Data[[#This Row],[Marks]]&gt;=80,"A",IF(Student_Data[[#This Row],[Marks]]&gt;=70,"B",IF(Student_Data[[#This Row],[Marks]]&gt;=60,"C","F"))))</f>
        <v>F</v>
      </c>
      <c r="K61" t="str">
        <f>IF(Student_Data[[#This Row],[Marks]]&gt;=35,"Pass","Fail")</f>
        <v>Pass</v>
      </c>
    </row>
    <row r="62" spans="1:11" x14ac:dyDescent="0.3">
      <c r="A62" t="s">
        <v>131</v>
      </c>
      <c r="B62" t="s">
        <v>132</v>
      </c>
      <c r="C62" t="s">
        <v>11</v>
      </c>
      <c r="D62">
        <v>7</v>
      </c>
      <c r="E62" t="s">
        <v>17</v>
      </c>
      <c r="F62" t="s">
        <v>26</v>
      </c>
      <c r="G62">
        <v>78</v>
      </c>
      <c r="H62">
        <v>89</v>
      </c>
      <c r="I62" t="s">
        <v>14</v>
      </c>
      <c r="J62" t="str">
        <f>IF(Student_Data[[#This Row],[Marks]] &gt;= 90,"A+",IF(Student_Data[[#This Row],[Marks]]&gt;=80,"A",IF(Student_Data[[#This Row],[Marks]]&gt;=70,"B",IF(Student_Data[[#This Row],[Marks]]&gt;=60,"C","F"))))</f>
        <v>B</v>
      </c>
      <c r="K62" t="str">
        <f>IF(Student_Data[[#This Row],[Marks]]&gt;=35,"Pass","Fail")</f>
        <v>Pass</v>
      </c>
    </row>
    <row r="63" spans="1:11" x14ac:dyDescent="0.3">
      <c r="A63" t="s">
        <v>133</v>
      </c>
      <c r="B63" t="s">
        <v>24</v>
      </c>
      <c r="C63" t="s">
        <v>25</v>
      </c>
      <c r="D63">
        <v>6</v>
      </c>
      <c r="E63" t="s">
        <v>12</v>
      </c>
      <c r="F63" t="s">
        <v>26</v>
      </c>
      <c r="G63">
        <v>90</v>
      </c>
      <c r="H63">
        <v>76</v>
      </c>
      <c r="I63" t="s">
        <v>14</v>
      </c>
      <c r="J63" t="str">
        <f>IF(Student_Data[[#This Row],[Marks]] &gt;= 90,"A+",IF(Student_Data[[#This Row],[Marks]]&gt;=80,"A",IF(Student_Data[[#This Row],[Marks]]&gt;=70,"B",IF(Student_Data[[#This Row],[Marks]]&gt;=60,"C","F"))))</f>
        <v>A+</v>
      </c>
      <c r="K63" t="str">
        <f>IF(Student_Data[[#This Row],[Marks]]&gt;=35,"Pass","Fail")</f>
        <v>Pass</v>
      </c>
    </row>
    <row r="64" spans="1:11" x14ac:dyDescent="0.3">
      <c r="A64" t="s">
        <v>134</v>
      </c>
      <c r="B64" t="s">
        <v>135</v>
      </c>
      <c r="C64" t="s">
        <v>11</v>
      </c>
      <c r="D64">
        <v>8</v>
      </c>
      <c r="E64" t="s">
        <v>17</v>
      </c>
      <c r="F64" t="s">
        <v>26</v>
      </c>
      <c r="G64">
        <v>77</v>
      </c>
      <c r="H64">
        <v>84</v>
      </c>
      <c r="I64" t="s">
        <v>19</v>
      </c>
      <c r="J64" t="str">
        <f>IF(Student_Data[[#This Row],[Marks]] &gt;= 90,"A+",IF(Student_Data[[#This Row],[Marks]]&gt;=80,"A",IF(Student_Data[[#This Row],[Marks]]&gt;=70,"B",IF(Student_Data[[#This Row],[Marks]]&gt;=60,"C","F"))))</f>
        <v>B</v>
      </c>
      <c r="K64" t="str">
        <f>IF(Student_Data[[#This Row],[Marks]]&gt;=35,"Pass","Fail")</f>
        <v>Pass</v>
      </c>
    </row>
    <row r="65" spans="1:11" x14ac:dyDescent="0.3">
      <c r="A65" t="s">
        <v>136</v>
      </c>
      <c r="B65" t="s">
        <v>90</v>
      </c>
      <c r="C65" t="s">
        <v>25</v>
      </c>
      <c r="D65">
        <v>12</v>
      </c>
      <c r="E65" t="s">
        <v>17</v>
      </c>
      <c r="F65" t="s">
        <v>18</v>
      </c>
      <c r="G65">
        <v>79</v>
      </c>
      <c r="H65">
        <v>84</v>
      </c>
      <c r="I65" t="s">
        <v>49</v>
      </c>
      <c r="J65" t="str">
        <f>IF(Student_Data[[#This Row],[Marks]] &gt;= 90,"A+",IF(Student_Data[[#This Row],[Marks]]&gt;=80,"A",IF(Student_Data[[#This Row],[Marks]]&gt;=70,"B",IF(Student_Data[[#This Row],[Marks]]&gt;=60,"C","F"))))</f>
        <v>B</v>
      </c>
      <c r="K65" t="str">
        <f>IF(Student_Data[[#This Row],[Marks]]&gt;=35,"Pass","Fail")</f>
        <v>Pass</v>
      </c>
    </row>
    <row r="66" spans="1:11" x14ac:dyDescent="0.3">
      <c r="A66" t="s">
        <v>137</v>
      </c>
      <c r="B66" t="s">
        <v>72</v>
      </c>
      <c r="C66" t="s">
        <v>11</v>
      </c>
      <c r="D66">
        <v>12</v>
      </c>
      <c r="E66" t="s">
        <v>17</v>
      </c>
      <c r="F66" t="s">
        <v>43</v>
      </c>
      <c r="G66">
        <v>60</v>
      </c>
      <c r="H66">
        <v>85</v>
      </c>
      <c r="I66" t="s">
        <v>19</v>
      </c>
      <c r="J66" t="str">
        <f>IF(Student_Data[[#This Row],[Marks]] &gt;= 90,"A+",IF(Student_Data[[#This Row],[Marks]]&gt;=80,"A",IF(Student_Data[[#This Row],[Marks]]&gt;=70,"B",IF(Student_Data[[#This Row],[Marks]]&gt;=60,"C","F"))))</f>
        <v>C</v>
      </c>
      <c r="K66" t="str">
        <f>IF(Student_Data[[#This Row],[Marks]]&gt;=35,"Pass","Fail")</f>
        <v>Pass</v>
      </c>
    </row>
    <row r="67" spans="1:11" x14ac:dyDescent="0.3">
      <c r="A67" t="s">
        <v>138</v>
      </c>
      <c r="B67" t="s">
        <v>129</v>
      </c>
      <c r="C67" t="s">
        <v>11</v>
      </c>
      <c r="D67">
        <v>8</v>
      </c>
      <c r="E67" t="s">
        <v>12</v>
      </c>
      <c r="F67" t="s">
        <v>34</v>
      </c>
      <c r="G67">
        <v>69</v>
      </c>
      <c r="H67">
        <v>85</v>
      </c>
      <c r="I67" t="s">
        <v>14</v>
      </c>
      <c r="J67" t="str">
        <f>IF(Student_Data[[#This Row],[Marks]] &gt;= 90,"A+",IF(Student_Data[[#This Row],[Marks]]&gt;=80,"A",IF(Student_Data[[#This Row],[Marks]]&gt;=70,"B",IF(Student_Data[[#This Row],[Marks]]&gt;=60,"C","F"))))</f>
        <v>C</v>
      </c>
      <c r="K67" t="str">
        <f>IF(Student_Data[[#This Row],[Marks]]&gt;=35,"Pass","Fail")</f>
        <v>Pass</v>
      </c>
    </row>
    <row r="68" spans="1:11" x14ac:dyDescent="0.3">
      <c r="A68" t="s">
        <v>139</v>
      </c>
      <c r="B68" t="s">
        <v>112</v>
      </c>
      <c r="C68" t="s">
        <v>25</v>
      </c>
      <c r="D68">
        <v>8</v>
      </c>
      <c r="E68" t="s">
        <v>17</v>
      </c>
      <c r="F68" t="s">
        <v>18</v>
      </c>
      <c r="G68">
        <v>38</v>
      </c>
      <c r="H68">
        <v>89</v>
      </c>
      <c r="I68" t="s">
        <v>49</v>
      </c>
      <c r="J68" t="str">
        <f>IF(Student_Data[[#This Row],[Marks]] &gt;= 90,"A+",IF(Student_Data[[#This Row],[Marks]]&gt;=80,"A",IF(Student_Data[[#This Row],[Marks]]&gt;=70,"B",IF(Student_Data[[#This Row],[Marks]]&gt;=60,"C","F"))))</f>
        <v>F</v>
      </c>
      <c r="K68" t="str">
        <f>IF(Student_Data[[#This Row],[Marks]]&gt;=35,"Pass","Fail")</f>
        <v>Pass</v>
      </c>
    </row>
    <row r="69" spans="1:11" x14ac:dyDescent="0.3">
      <c r="A69" t="s">
        <v>140</v>
      </c>
      <c r="B69" t="s">
        <v>141</v>
      </c>
      <c r="C69" t="s">
        <v>25</v>
      </c>
      <c r="D69">
        <v>7</v>
      </c>
      <c r="E69" t="s">
        <v>33</v>
      </c>
      <c r="F69" t="s">
        <v>43</v>
      </c>
      <c r="G69">
        <v>36</v>
      </c>
      <c r="H69">
        <v>78</v>
      </c>
      <c r="I69" t="s">
        <v>35</v>
      </c>
      <c r="J69" t="str">
        <f>IF(Student_Data[[#This Row],[Marks]] &gt;= 90,"A+",IF(Student_Data[[#This Row],[Marks]]&gt;=80,"A",IF(Student_Data[[#This Row],[Marks]]&gt;=70,"B",IF(Student_Data[[#This Row],[Marks]]&gt;=60,"C","F"))))</f>
        <v>F</v>
      </c>
      <c r="K69" t="str">
        <f>IF(Student_Data[[#This Row],[Marks]]&gt;=35,"Pass","Fail")</f>
        <v>Pass</v>
      </c>
    </row>
    <row r="70" spans="1:11" x14ac:dyDescent="0.3">
      <c r="A70" t="s">
        <v>142</v>
      </c>
      <c r="B70" t="s">
        <v>143</v>
      </c>
      <c r="C70" t="s">
        <v>11</v>
      </c>
      <c r="D70">
        <v>8</v>
      </c>
      <c r="E70" t="s">
        <v>17</v>
      </c>
      <c r="F70" t="s">
        <v>13</v>
      </c>
      <c r="G70">
        <v>49</v>
      </c>
      <c r="H70">
        <v>60</v>
      </c>
      <c r="I70" t="s">
        <v>31</v>
      </c>
      <c r="J70" t="str">
        <f>IF(Student_Data[[#This Row],[Marks]] &gt;= 90,"A+",IF(Student_Data[[#This Row],[Marks]]&gt;=80,"A",IF(Student_Data[[#This Row],[Marks]]&gt;=70,"B",IF(Student_Data[[#This Row],[Marks]]&gt;=60,"C","F"))))</f>
        <v>F</v>
      </c>
      <c r="K70" t="str">
        <f>IF(Student_Data[[#This Row],[Marks]]&gt;=35,"Pass","Fail")</f>
        <v>Pass</v>
      </c>
    </row>
    <row r="71" spans="1:11" x14ac:dyDescent="0.3">
      <c r="A71" t="s">
        <v>144</v>
      </c>
      <c r="B71" t="s">
        <v>53</v>
      </c>
      <c r="C71" t="s">
        <v>25</v>
      </c>
      <c r="D71">
        <v>12</v>
      </c>
      <c r="E71" t="s">
        <v>33</v>
      </c>
      <c r="F71" t="s">
        <v>43</v>
      </c>
      <c r="G71">
        <v>94</v>
      </c>
      <c r="H71">
        <v>79</v>
      </c>
      <c r="I71" t="s">
        <v>35</v>
      </c>
      <c r="J71" t="str">
        <f>IF(Student_Data[[#This Row],[Marks]] &gt;= 90,"A+",IF(Student_Data[[#This Row],[Marks]]&gt;=80,"A",IF(Student_Data[[#This Row],[Marks]]&gt;=70,"B",IF(Student_Data[[#This Row],[Marks]]&gt;=60,"C","F"))))</f>
        <v>A+</v>
      </c>
      <c r="K71" t="str">
        <f>IF(Student_Data[[#This Row],[Marks]]&gt;=35,"Pass","Fail")</f>
        <v>Pass</v>
      </c>
    </row>
    <row r="72" spans="1:11" x14ac:dyDescent="0.3">
      <c r="A72" t="s">
        <v>145</v>
      </c>
      <c r="B72" t="s">
        <v>109</v>
      </c>
      <c r="C72" t="s">
        <v>25</v>
      </c>
      <c r="D72">
        <v>7</v>
      </c>
      <c r="E72" t="s">
        <v>17</v>
      </c>
      <c r="F72" t="s">
        <v>43</v>
      </c>
      <c r="G72">
        <v>98</v>
      </c>
      <c r="H72">
        <v>60</v>
      </c>
      <c r="I72" t="s">
        <v>19</v>
      </c>
      <c r="J72" t="str">
        <f>IF(Student_Data[[#This Row],[Marks]] &gt;= 90,"A+",IF(Student_Data[[#This Row],[Marks]]&gt;=80,"A",IF(Student_Data[[#This Row],[Marks]]&gt;=70,"B",IF(Student_Data[[#This Row],[Marks]]&gt;=60,"C","F"))))</f>
        <v>A+</v>
      </c>
      <c r="K72" t="str">
        <f>IF(Student_Data[[#This Row],[Marks]]&gt;=35,"Pass","Fail")</f>
        <v>Pass</v>
      </c>
    </row>
    <row r="73" spans="1:11" x14ac:dyDescent="0.3">
      <c r="A73" t="s">
        <v>146</v>
      </c>
      <c r="B73" t="s">
        <v>147</v>
      </c>
      <c r="C73" t="s">
        <v>25</v>
      </c>
      <c r="D73">
        <v>7</v>
      </c>
      <c r="E73" t="s">
        <v>17</v>
      </c>
      <c r="F73" t="s">
        <v>18</v>
      </c>
      <c r="G73">
        <v>98</v>
      </c>
      <c r="H73">
        <v>99</v>
      </c>
      <c r="I73" t="s">
        <v>35</v>
      </c>
      <c r="J73" t="str">
        <f>IF(Student_Data[[#This Row],[Marks]] &gt;= 90,"A+",IF(Student_Data[[#This Row],[Marks]]&gt;=80,"A",IF(Student_Data[[#This Row],[Marks]]&gt;=70,"B",IF(Student_Data[[#This Row],[Marks]]&gt;=60,"C","F"))))</f>
        <v>A+</v>
      </c>
      <c r="K73" t="str">
        <f>IF(Student_Data[[#This Row],[Marks]]&gt;=35,"Pass","Fail")</f>
        <v>Pass</v>
      </c>
    </row>
    <row r="74" spans="1:11" x14ac:dyDescent="0.3">
      <c r="A74" t="s">
        <v>148</v>
      </c>
      <c r="B74" t="s">
        <v>96</v>
      </c>
      <c r="C74" t="s">
        <v>25</v>
      </c>
      <c r="D74">
        <v>8</v>
      </c>
      <c r="E74" t="s">
        <v>33</v>
      </c>
      <c r="F74" t="s">
        <v>26</v>
      </c>
      <c r="G74">
        <v>81</v>
      </c>
      <c r="H74">
        <v>83</v>
      </c>
      <c r="I74" t="s">
        <v>35</v>
      </c>
      <c r="J74" t="str">
        <f>IF(Student_Data[[#This Row],[Marks]] &gt;= 90,"A+",IF(Student_Data[[#This Row],[Marks]]&gt;=80,"A",IF(Student_Data[[#This Row],[Marks]]&gt;=70,"B",IF(Student_Data[[#This Row],[Marks]]&gt;=60,"C","F"))))</f>
        <v>A</v>
      </c>
      <c r="K74" t="str">
        <f>IF(Student_Data[[#This Row],[Marks]]&gt;=35,"Pass","Fail")</f>
        <v>Pass</v>
      </c>
    </row>
    <row r="75" spans="1:11" x14ac:dyDescent="0.3">
      <c r="A75" t="s">
        <v>149</v>
      </c>
      <c r="B75" t="s">
        <v>112</v>
      </c>
      <c r="C75" t="s">
        <v>25</v>
      </c>
      <c r="D75">
        <v>9</v>
      </c>
      <c r="E75" t="s">
        <v>12</v>
      </c>
      <c r="F75" t="s">
        <v>34</v>
      </c>
      <c r="G75">
        <v>46</v>
      </c>
      <c r="H75">
        <v>94</v>
      </c>
      <c r="I75" t="s">
        <v>19</v>
      </c>
      <c r="J75" t="str">
        <f>IF(Student_Data[[#This Row],[Marks]] &gt;= 90,"A+",IF(Student_Data[[#This Row],[Marks]]&gt;=80,"A",IF(Student_Data[[#This Row],[Marks]]&gt;=70,"B",IF(Student_Data[[#This Row],[Marks]]&gt;=60,"C","F"))))</f>
        <v>F</v>
      </c>
      <c r="K75" t="str">
        <f>IF(Student_Data[[#This Row],[Marks]]&gt;=35,"Pass","Fail")</f>
        <v>Pass</v>
      </c>
    </row>
    <row r="76" spans="1:11" x14ac:dyDescent="0.3">
      <c r="A76" t="s">
        <v>150</v>
      </c>
      <c r="B76" t="s">
        <v>151</v>
      </c>
      <c r="C76" t="s">
        <v>11</v>
      </c>
      <c r="D76">
        <v>7</v>
      </c>
      <c r="E76" t="s">
        <v>12</v>
      </c>
      <c r="F76" t="s">
        <v>13</v>
      </c>
      <c r="G76">
        <v>39</v>
      </c>
      <c r="H76">
        <v>69</v>
      </c>
      <c r="I76" t="s">
        <v>14</v>
      </c>
      <c r="J76" t="str">
        <f>IF(Student_Data[[#This Row],[Marks]] &gt;= 90,"A+",IF(Student_Data[[#This Row],[Marks]]&gt;=80,"A",IF(Student_Data[[#This Row],[Marks]]&gt;=70,"B",IF(Student_Data[[#This Row],[Marks]]&gt;=60,"C","F"))))</f>
        <v>F</v>
      </c>
      <c r="K76" t="str">
        <f>IF(Student_Data[[#This Row],[Marks]]&gt;=35,"Pass","Fail")</f>
        <v>Pass</v>
      </c>
    </row>
    <row r="77" spans="1:11" x14ac:dyDescent="0.3">
      <c r="A77" t="s">
        <v>152</v>
      </c>
      <c r="B77" t="s">
        <v>61</v>
      </c>
      <c r="C77" t="s">
        <v>11</v>
      </c>
      <c r="D77">
        <v>12</v>
      </c>
      <c r="E77" t="s">
        <v>17</v>
      </c>
      <c r="F77" t="s">
        <v>26</v>
      </c>
      <c r="G77">
        <v>68</v>
      </c>
      <c r="H77">
        <v>83</v>
      </c>
      <c r="I77" t="s">
        <v>19</v>
      </c>
      <c r="J77" t="str">
        <f>IF(Student_Data[[#This Row],[Marks]] &gt;= 90,"A+",IF(Student_Data[[#This Row],[Marks]]&gt;=80,"A",IF(Student_Data[[#This Row],[Marks]]&gt;=70,"B",IF(Student_Data[[#This Row],[Marks]]&gt;=60,"C","F"))))</f>
        <v>C</v>
      </c>
      <c r="K77" t="str">
        <f>IF(Student_Data[[#This Row],[Marks]]&gt;=35,"Pass","Fail")</f>
        <v>Pass</v>
      </c>
    </row>
    <row r="78" spans="1:11" x14ac:dyDescent="0.3">
      <c r="A78" t="s">
        <v>153</v>
      </c>
      <c r="B78" t="s">
        <v>121</v>
      </c>
      <c r="C78" t="s">
        <v>25</v>
      </c>
      <c r="D78">
        <v>8</v>
      </c>
      <c r="E78" t="s">
        <v>33</v>
      </c>
      <c r="F78" t="s">
        <v>13</v>
      </c>
      <c r="G78">
        <v>99</v>
      </c>
      <c r="H78">
        <v>93</v>
      </c>
      <c r="I78" t="s">
        <v>46</v>
      </c>
      <c r="J78" t="str">
        <f>IF(Student_Data[[#This Row],[Marks]] &gt;= 90,"A+",IF(Student_Data[[#This Row],[Marks]]&gt;=80,"A",IF(Student_Data[[#This Row],[Marks]]&gt;=70,"B",IF(Student_Data[[#This Row],[Marks]]&gt;=60,"C","F"))))</f>
        <v>A+</v>
      </c>
      <c r="K78" t="str">
        <f>IF(Student_Data[[#This Row],[Marks]]&gt;=35,"Pass","Fail")</f>
        <v>Pass</v>
      </c>
    </row>
    <row r="79" spans="1:11" x14ac:dyDescent="0.3">
      <c r="A79" t="s">
        <v>154</v>
      </c>
      <c r="B79" t="s">
        <v>112</v>
      </c>
      <c r="C79" t="s">
        <v>11</v>
      </c>
      <c r="D79">
        <v>6</v>
      </c>
      <c r="E79" t="s">
        <v>17</v>
      </c>
      <c r="F79" t="s">
        <v>26</v>
      </c>
      <c r="G79">
        <v>65</v>
      </c>
      <c r="H79">
        <v>79</v>
      </c>
      <c r="I79" t="s">
        <v>31</v>
      </c>
      <c r="J79" t="str">
        <f>IF(Student_Data[[#This Row],[Marks]] &gt;= 90,"A+",IF(Student_Data[[#This Row],[Marks]]&gt;=80,"A",IF(Student_Data[[#This Row],[Marks]]&gt;=70,"B",IF(Student_Data[[#This Row],[Marks]]&gt;=60,"C","F"))))</f>
        <v>C</v>
      </c>
      <c r="K79" t="str">
        <f>IF(Student_Data[[#This Row],[Marks]]&gt;=35,"Pass","Fail")</f>
        <v>Pass</v>
      </c>
    </row>
    <row r="80" spans="1:11" x14ac:dyDescent="0.3">
      <c r="A80" t="s">
        <v>155</v>
      </c>
      <c r="B80" t="s">
        <v>24</v>
      </c>
      <c r="C80" t="s">
        <v>25</v>
      </c>
      <c r="D80">
        <v>6</v>
      </c>
      <c r="E80" t="s">
        <v>33</v>
      </c>
      <c r="F80" t="s">
        <v>34</v>
      </c>
      <c r="G80">
        <v>89</v>
      </c>
      <c r="H80">
        <v>69</v>
      </c>
      <c r="I80" t="s">
        <v>35</v>
      </c>
      <c r="J80" t="str">
        <f>IF(Student_Data[[#This Row],[Marks]] &gt;= 90,"A+",IF(Student_Data[[#This Row],[Marks]]&gt;=80,"A",IF(Student_Data[[#This Row],[Marks]]&gt;=70,"B",IF(Student_Data[[#This Row],[Marks]]&gt;=60,"C","F"))))</f>
        <v>A</v>
      </c>
      <c r="K80" t="str">
        <f>IF(Student_Data[[#This Row],[Marks]]&gt;=35,"Pass","Fail")</f>
        <v>Pass</v>
      </c>
    </row>
    <row r="81" spans="1:11" x14ac:dyDescent="0.3">
      <c r="A81" t="s">
        <v>156</v>
      </c>
      <c r="B81" t="s">
        <v>24</v>
      </c>
      <c r="C81" t="s">
        <v>25</v>
      </c>
      <c r="D81">
        <v>9</v>
      </c>
      <c r="E81" t="s">
        <v>12</v>
      </c>
      <c r="F81" t="s">
        <v>13</v>
      </c>
      <c r="G81">
        <v>71</v>
      </c>
      <c r="H81">
        <v>100</v>
      </c>
      <c r="I81" t="s">
        <v>19</v>
      </c>
      <c r="J81" t="str">
        <f>IF(Student_Data[[#This Row],[Marks]] &gt;= 90,"A+",IF(Student_Data[[#This Row],[Marks]]&gt;=80,"A",IF(Student_Data[[#This Row],[Marks]]&gt;=70,"B",IF(Student_Data[[#This Row],[Marks]]&gt;=60,"C","F"))))</f>
        <v>B</v>
      </c>
      <c r="K81" t="str">
        <f>IF(Student_Data[[#This Row],[Marks]]&gt;=35,"Pass","Fail")</f>
        <v>Pass</v>
      </c>
    </row>
    <row r="82" spans="1:11" x14ac:dyDescent="0.3">
      <c r="A82" t="s">
        <v>157</v>
      </c>
      <c r="B82" t="s">
        <v>158</v>
      </c>
      <c r="C82" t="s">
        <v>11</v>
      </c>
      <c r="D82">
        <v>7</v>
      </c>
      <c r="E82" t="s">
        <v>17</v>
      </c>
      <c r="F82" t="s">
        <v>22</v>
      </c>
      <c r="G82">
        <v>81</v>
      </c>
      <c r="H82">
        <v>73</v>
      </c>
      <c r="I82" t="s">
        <v>40</v>
      </c>
      <c r="J82" t="str">
        <f>IF(Student_Data[[#This Row],[Marks]] &gt;= 90,"A+",IF(Student_Data[[#This Row],[Marks]]&gt;=80,"A",IF(Student_Data[[#This Row],[Marks]]&gt;=70,"B",IF(Student_Data[[#This Row],[Marks]]&gt;=60,"C","F"))))</f>
        <v>A</v>
      </c>
      <c r="K82" t="str">
        <f>IF(Student_Data[[#This Row],[Marks]]&gt;=35,"Pass","Fail")</f>
        <v>Pass</v>
      </c>
    </row>
    <row r="83" spans="1:11" x14ac:dyDescent="0.3">
      <c r="A83" t="s">
        <v>159</v>
      </c>
      <c r="B83" t="s">
        <v>55</v>
      </c>
      <c r="C83" t="s">
        <v>25</v>
      </c>
      <c r="D83">
        <v>12</v>
      </c>
      <c r="E83" t="s">
        <v>33</v>
      </c>
      <c r="F83" t="s">
        <v>26</v>
      </c>
      <c r="G83">
        <v>53</v>
      </c>
      <c r="H83">
        <v>81</v>
      </c>
      <c r="I83" t="s">
        <v>35</v>
      </c>
      <c r="J83" t="str">
        <f>IF(Student_Data[[#This Row],[Marks]] &gt;= 90,"A+",IF(Student_Data[[#This Row],[Marks]]&gt;=80,"A",IF(Student_Data[[#This Row],[Marks]]&gt;=70,"B",IF(Student_Data[[#This Row],[Marks]]&gt;=60,"C","F"))))</f>
        <v>F</v>
      </c>
      <c r="K83" t="str">
        <f>IF(Student_Data[[#This Row],[Marks]]&gt;=35,"Pass","Fail")</f>
        <v>Pass</v>
      </c>
    </row>
    <row r="84" spans="1:11" x14ac:dyDescent="0.3">
      <c r="A84" t="s">
        <v>160</v>
      </c>
      <c r="B84" t="s">
        <v>61</v>
      </c>
      <c r="C84" t="s">
        <v>11</v>
      </c>
      <c r="D84">
        <v>6</v>
      </c>
      <c r="E84" t="s">
        <v>17</v>
      </c>
      <c r="F84" t="s">
        <v>43</v>
      </c>
      <c r="G84">
        <v>38</v>
      </c>
      <c r="H84">
        <v>60</v>
      </c>
      <c r="I84" t="s">
        <v>19</v>
      </c>
      <c r="J84" t="str">
        <f>IF(Student_Data[[#This Row],[Marks]] &gt;= 90,"A+",IF(Student_Data[[#This Row],[Marks]]&gt;=80,"A",IF(Student_Data[[#This Row],[Marks]]&gt;=70,"B",IF(Student_Data[[#This Row],[Marks]]&gt;=60,"C","F"))))</f>
        <v>F</v>
      </c>
      <c r="K84" t="str">
        <f>IF(Student_Data[[#This Row],[Marks]]&gt;=35,"Pass","Fail")</f>
        <v>Pass</v>
      </c>
    </row>
    <row r="85" spans="1:11" x14ac:dyDescent="0.3">
      <c r="A85" t="s">
        <v>161</v>
      </c>
      <c r="B85" t="s">
        <v>132</v>
      </c>
      <c r="C85" t="s">
        <v>25</v>
      </c>
      <c r="D85">
        <v>11</v>
      </c>
      <c r="E85" t="s">
        <v>33</v>
      </c>
      <c r="F85" t="s">
        <v>43</v>
      </c>
      <c r="G85">
        <v>81</v>
      </c>
      <c r="H85">
        <v>97</v>
      </c>
      <c r="I85" t="s">
        <v>35</v>
      </c>
      <c r="J85" t="str">
        <f>IF(Student_Data[[#This Row],[Marks]] &gt;= 90,"A+",IF(Student_Data[[#This Row],[Marks]]&gt;=80,"A",IF(Student_Data[[#This Row],[Marks]]&gt;=70,"B",IF(Student_Data[[#This Row],[Marks]]&gt;=60,"C","F"))))</f>
        <v>A</v>
      </c>
      <c r="K85" t="str">
        <f>IF(Student_Data[[#This Row],[Marks]]&gt;=35,"Pass","Fail")</f>
        <v>Pass</v>
      </c>
    </row>
    <row r="86" spans="1:11" x14ac:dyDescent="0.3">
      <c r="A86" t="s">
        <v>162</v>
      </c>
      <c r="B86" t="s">
        <v>100</v>
      </c>
      <c r="C86" t="s">
        <v>25</v>
      </c>
      <c r="D86">
        <v>12</v>
      </c>
      <c r="E86" t="s">
        <v>12</v>
      </c>
      <c r="F86" t="s">
        <v>22</v>
      </c>
      <c r="G86">
        <v>75</v>
      </c>
      <c r="H86">
        <v>62</v>
      </c>
      <c r="I86" t="s">
        <v>14</v>
      </c>
      <c r="J86" t="str">
        <f>IF(Student_Data[[#This Row],[Marks]] &gt;= 90,"A+",IF(Student_Data[[#This Row],[Marks]]&gt;=80,"A",IF(Student_Data[[#This Row],[Marks]]&gt;=70,"B",IF(Student_Data[[#This Row],[Marks]]&gt;=60,"C","F"))))</f>
        <v>B</v>
      </c>
      <c r="K86" t="str">
        <f>IF(Student_Data[[#This Row],[Marks]]&gt;=35,"Pass","Fail")</f>
        <v>Pass</v>
      </c>
    </row>
    <row r="87" spans="1:11" x14ac:dyDescent="0.3">
      <c r="A87" t="s">
        <v>163</v>
      </c>
      <c r="B87" t="s">
        <v>164</v>
      </c>
      <c r="C87" t="s">
        <v>25</v>
      </c>
      <c r="D87">
        <v>10</v>
      </c>
      <c r="E87" t="s">
        <v>17</v>
      </c>
      <c r="F87" t="s">
        <v>22</v>
      </c>
      <c r="G87">
        <v>79</v>
      </c>
      <c r="H87">
        <v>85</v>
      </c>
      <c r="I87" t="s">
        <v>14</v>
      </c>
      <c r="J87" t="str">
        <f>IF(Student_Data[[#This Row],[Marks]] &gt;= 90,"A+",IF(Student_Data[[#This Row],[Marks]]&gt;=80,"A",IF(Student_Data[[#This Row],[Marks]]&gt;=70,"B",IF(Student_Data[[#This Row],[Marks]]&gt;=60,"C","F"))))</f>
        <v>B</v>
      </c>
      <c r="K87" t="str">
        <f>IF(Student_Data[[#This Row],[Marks]]&gt;=35,"Pass","Fail")</f>
        <v>Pass</v>
      </c>
    </row>
    <row r="88" spans="1:11" x14ac:dyDescent="0.3">
      <c r="A88" t="s">
        <v>165</v>
      </c>
      <c r="B88" t="s">
        <v>68</v>
      </c>
      <c r="C88" t="s">
        <v>25</v>
      </c>
      <c r="D88">
        <v>12</v>
      </c>
      <c r="E88" t="s">
        <v>17</v>
      </c>
      <c r="F88" t="s">
        <v>18</v>
      </c>
      <c r="G88">
        <v>99</v>
      </c>
      <c r="H88">
        <v>60</v>
      </c>
      <c r="I88" t="s">
        <v>49</v>
      </c>
      <c r="J88" t="str">
        <f>IF(Student_Data[[#This Row],[Marks]] &gt;= 90,"A+",IF(Student_Data[[#This Row],[Marks]]&gt;=80,"A",IF(Student_Data[[#This Row],[Marks]]&gt;=70,"B",IF(Student_Data[[#This Row],[Marks]]&gt;=60,"C","F"))))</f>
        <v>A+</v>
      </c>
      <c r="K88" t="str">
        <f>IF(Student_Data[[#This Row],[Marks]]&gt;=35,"Pass","Fail")</f>
        <v>Pass</v>
      </c>
    </row>
    <row r="89" spans="1:11" x14ac:dyDescent="0.3">
      <c r="A89" t="s">
        <v>166</v>
      </c>
      <c r="B89" t="s">
        <v>107</v>
      </c>
      <c r="C89" t="s">
        <v>25</v>
      </c>
      <c r="D89">
        <v>8</v>
      </c>
      <c r="E89" t="s">
        <v>12</v>
      </c>
      <c r="F89" t="s">
        <v>26</v>
      </c>
      <c r="G89">
        <v>60</v>
      </c>
      <c r="H89">
        <v>85</v>
      </c>
      <c r="I89" t="s">
        <v>35</v>
      </c>
      <c r="J89" t="str">
        <f>IF(Student_Data[[#This Row],[Marks]] &gt;= 90,"A+",IF(Student_Data[[#This Row],[Marks]]&gt;=80,"A",IF(Student_Data[[#This Row],[Marks]]&gt;=70,"B",IF(Student_Data[[#This Row],[Marks]]&gt;=60,"C","F"))))</f>
        <v>C</v>
      </c>
      <c r="K89" t="str">
        <f>IF(Student_Data[[#This Row],[Marks]]&gt;=35,"Pass","Fail")</f>
        <v>Pass</v>
      </c>
    </row>
    <row r="90" spans="1:11" x14ac:dyDescent="0.3">
      <c r="A90" t="s">
        <v>167</v>
      </c>
      <c r="B90" t="s">
        <v>168</v>
      </c>
      <c r="C90" t="s">
        <v>25</v>
      </c>
      <c r="D90">
        <v>10</v>
      </c>
      <c r="E90" t="s">
        <v>17</v>
      </c>
      <c r="F90" t="s">
        <v>43</v>
      </c>
      <c r="G90">
        <v>76</v>
      </c>
      <c r="H90">
        <v>95</v>
      </c>
      <c r="I90" t="s">
        <v>19</v>
      </c>
      <c r="J90" t="str">
        <f>IF(Student_Data[[#This Row],[Marks]] &gt;= 90,"A+",IF(Student_Data[[#This Row],[Marks]]&gt;=80,"A",IF(Student_Data[[#This Row],[Marks]]&gt;=70,"B",IF(Student_Data[[#This Row],[Marks]]&gt;=60,"C","F"))))</f>
        <v>B</v>
      </c>
      <c r="K90" t="str">
        <f>IF(Student_Data[[#This Row],[Marks]]&gt;=35,"Pass","Fail")</f>
        <v>Pass</v>
      </c>
    </row>
    <row r="91" spans="1:11" x14ac:dyDescent="0.3">
      <c r="A91" t="s">
        <v>169</v>
      </c>
      <c r="B91" t="s">
        <v>168</v>
      </c>
      <c r="C91" t="s">
        <v>11</v>
      </c>
      <c r="D91">
        <v>7</v>
      </c>
      <c r="E91" t="s">
        <v>12</v>
      </c>
      <c r="F91" t="s">
        <v>22</v>
      </c>
      <c r="G91">
        <v>60</v>
      </c>
      <c r="H91">
        <v>81</v>
      </c>
      <c r="I91" t="s">
        <v>19</v>
      </c>
      <c r="J91" t="str">
        <f>IF(Student_Data[[#This Row],[Marks]] &gt;= 90,"A+",IF(Student_Data[[#This Row],[Marks]]&gt;=80,"A",IF(Student_Data[[#This Row],[Marks]]&gt;=70,"B",IF(Student_Data[[#This Row],[Marks]]&gt;=60,"C","F"))))</f>
        <v>C</v>
      </c>
      <c r="K91" t="str">
        <f>IF(Student_Data[[#This Row],[Marks]]&gt;=35,"Pass","Fail")</f>
        <v>Pass</v>
      </c>
    </row>
    <row r="92" spans="1:11" x14ac:dyDescent="0.3">
      <c r="A92" t="s">
        <v>170</v>
      </c>
      <c r="B92" t="s">
        <v>171</v>
      </c>
      <c r="C92" t="s">
        <v>25</v>
      </c>
      <c r="D92">
        <v>11</v>
      </c>
      <c r="E92" t="s">
        <v>33</v>
      </c>
      <c r="F92" t="s">
        <v>26</v>
      </c>
      <c r="G92">
        <v>59</v>
      </c>
      <c r="H92">
        <v>86</v>
      </c>
      <c r="I92" t="s">
        <v>31</v>
      </c>
      <c r="J92" t="str">
        <f>IF(Student_Data[[#This Row],[Marks]] &gt;= 90,"A+",IF(Student_Data[[#This Row],[Marks]]&gt;=80,"A",IF(Student_Data[[#This Row],[Marks]]&gt;=70,"B",IF(Student_Data[[#This Row],[Marks]]&gt;=60,"C","F"))))</f>
        <v>F</v>
      </c>
      <c r="K92" t="str">
        <f>IF(Student_Data[[#This Row],[Marks]]&gt;=35,"Pass","Fail")</f>
        <v>Pass</v>
      </c>
    </row>
    <row r="93" spans="1:11" x14ac:dyDescent="0.3">
      <c r="A93" t="s">
        <v>172</v>
      </c>
      <c r="B93" t="s">
        <v>173</v>
      </c>
      <c r="C93" t="s">
        <v>11</v>
      </c>
      <c r="D93">
        <v>10</v>
      </c>
      <c r="E93" t="s">
        <v>33</v>
      </c>
      <c r="F93" t="s">
        <v>13</v>
      </c>
      <c r="G93">
        <v>49</v>
      </c>
      <c r="H93">
        <v>75</v>
      </c>
      <c r="I93" t="s">
        <v>35</v>
      </c>
      <c r="J93" t="str">
        <f>IF(Student_Data[[#This Row],[Marks]] &gt;= 90,"A+",IF(Student_Data[[#This Row],[Marks]]&gt;=80,"A",IF(Student_Data[[#This Row],[Marks]]&gt;=70,"B",IF(Student_Data[[#This Row],[Marks]]&gt;=60,"C","F"))))</f>
        <v>F</v>
      </c>
      <c r="K93" t="str">
        <f>IF(Student_Data[[#This Row],[Marks]]&gt;=35,"Pass","Fail")</f>
        <v>Pass</v>
      </c>
    </row>
    <row r="94" spans="1:11" x14ac:dyDescent="0.3">
      <c r="A94" t="s">
        <v>174</v>
      </c>
      <c r="B94" t="s">
        <v>24</v>
      </c>
      <c r="C94" t="s">
        <v>11</v>
      </c>
      <c r="D94">
        <v>11</v>
      </c>
      <c r="E94" t="s">
        <v>17</v>
      </c>
      <c r="F94" t="s">
        <v>43</v>
      </c>
      <c r="G94">
        <v>52</v>
      </c>
      <c r="H94">
        <v>76</v>
      </c>
      <c r="I94" t="s">
        <v>40</v>
      </c>
      <c r="J94" t="str">
        <f>IF(Student_Data[[#This Row],[Marks]] &gt;= 90,"A+",IF(Student_Data[[#This Row],[Marks]]&gt;=80,"A",IF(Student_Data[[#This Row],[Marks]]&gt;=70,"B",IF(Student_Data[[#This Row],[Marks]]&gt;=60,"C","F"))))</f>
        <v>F</v>
      </c>
      <c r="K94" t="str">
        <f>IF(Student_Data[[#This Row],[Marks]]&gt;=35,"Pass","Fail")</f>
        <v>Pass</v>
      </c>
    </row>
    <row r="95" spans="1:11" x14ac:dyDescent="0.3">
      <c r="A95" t="s">
        <v>175</v>
      </c>
      <c r="B95" t="s">
        <v>176</v>
      </c>
      <c r="C95" t="s">
        <v>11</v>
      </c>
      <c r="D95">
        <v>10</v>
      </c>
      <c r="E95" t="s">
        <v>17</v>
      </c>
      <c r="F95" t="s">
        <v>26</v>
      </c>
      <c r="G95">
        <v>83</v>
      </c>
      <c r="H95">
        <v>96</v>
      </c>
      <c r="I95" t="s">
        <v>19</v>
      </c>
      <c r="J95" t="str">
        <f>IF(Student_Data[[#This Row],[Marks]] &gt;= 90,"A+",IF(Student_Data[[#This Row],[Marks]]&gt;=80,"A",IF(Student_Data[[#This Row],[Marks]]&gt;=70,"B",IF(Student_Data[[#This Row],[Marks]]&gt;=60,"C","F"))))</f>
        <v>A</v>
      </c>
      <c r="K95" t="str">
        <f>IF(Student_Data[[#This Row],[Marks]]&gt;=35,"Pass","Fail")</f>
        <v>Pass</v>
      </c>
    </row>
    <row r="96" spans="1:11" x14ac:dyDescent="0.3">
      <c r="A96" t="s">
        <v>177</v>
      </c>
      <c r="B96" t="s">
        <v>147</v>
      </c>
      <c r="C96" t="s">
        <v>25</v>
      </c>
      <c r="D96">
        <v>8</v>
      </c>
      <c r="E96" t="s">
        <v>17</v>
      </c>
      <c r="F96" t="s">
        <v>26</v>
      </c>
      <c r="G96">
        <v>51</v>
      </c>
      <c r="H96">
        <v>82</v>
      </c>
      <c r="I96" t="s">
        <v>35</v>
      </c>
      <c r="J96" t="str">
        <f>IF(Student_Data[[#This Row],[Marks]] &gt;= 90,"A+",IF(Student_Data[[#This Row],[Marks]]&gt;=80,"A",IF(Student_Data[[#This Row],[Marks]]&gt;=70,"B",IF(Student_Data[[#This Row],[Marks]]&gt;=60,"C","F"))))</f>
        <v>F</v>
      </c>
      <c r="K96" t="str">
        <f>IF(Student_Data[[#This Row],[Marks]]&gt;=35,"Pass","Fail")</f>
        <v>Pass</v>
      </c>
    </row>
    <row r="97" spans="1:11" x14ac:dyDescent="0.3">
      <c r="A97" t="s">
        <v>178</v>
      </c>
      <c r="B97" t="s">
        <v>179</v>
      </c>
      <c r="C97" t="s">
        <v>25</v>
      </c>
      <c r="D97">
        <v>10</v>
      </c>
      <c r="E97" t="s">
        <v>33</v>
      </c>
      <c r="F97" t="s">
        <v>22</v>
      </c>
      <c r="G97">
        <v>100</v>
      </c>
      <c r="H97">
        <v>65</v>
      </c>
      <c r="I97" t="s">
        <v>19</v>
      </c>
      <c r="J97" t="str">
        <f>IF(Student_Data[[#This Row],[Marks]] &gt;= 90,"A+",IF(Student_Data[[#This Row],[Marks]]&gt;=80,"A",IF(Student_Data[[#This Row],[Marks]]&gt;=70,"B",IF(Student_Data[[#This Row],[Marks]]&gt;=60,"C","F"))))</f>
        <v>A+</v>
      </c>
      <c r="K97" t="str">
        <f>IF(Student_Data[[#This Row],[Marks]]&gt;=35,"Pass","Fail")</f>
        <v>Pass</v>
      </c>
    </row>
    <row r="98" spans="1:11" x14ac:dyDescent="0.3">
      <c r="A98" t="s">
        <v>180</v>
      </c>
      <c r="B98" t="s">
        <v>112</v>
      </c>
      <c r="C98" t="s">
        <v>11</v>
      </c>
      <c r="D98">
        <v>11</v>
      </c>
      <c r="E98" t="s">
        <v>33</v>
      </c>
      <c r="F98" t="s">
        <v>34</v>
      </c>
      <c r="G98">
        <v>59</v>
      </c>
      <c r="H98">
        <v>62</v>
      </c>
      <c r="I98" t="s">
        <v>46</v>
      </c>
      <c r="J98" t="str">
        <f>IF(Student_Data[[#This Row],[Marks]] &gt;= 90,"A+",IF(Student_Data[[#This Row],[Marks]]&gt;=80,"A",IF(Student_Data[[#This Row],[Marks]]&gt;=70,"B",IF(Student_Data[[#This Row],[Marks]]&gt;=60,"C","F"))))</f>
        <v>F</v>
      </c>
      <c r="K98" t="str">
        <f>IF(Student_Data[[#This Row],[Marks]]&gt;=35,"Pass","Fail")</f>
        <v>Pass</v>
      </c>
    </row>
    <row r="99" spans="1:11" x14ac:dyDescent="0.3">
      <c r="A99" t="s">
        <v>181</v>
      </c>
      <c r="B99" t="s">
        <v>182</v>
      </c>
      <c r="C99" t="s">
        <v>25</v>
      </c>
      <c r="D99">
        <v>12</v>
      </c>
      <c r="E99" t="s">
        <v>12</v>
      </c>
      <c r="F99" t="s">
        <v>26</v>
      </c>
      <c r="G99">
        <v>87</v>
      </c>
      <c r="H99">
        <v>71</v>
      </c>
      <c r="I99" t="s">
        <v>40</v>
      </c>
      <c r="J99" t="str">
        <f>IF(Student_Data[[#This Row],[Marks]] &gt;= 90,"A+",IF(Student_Data[[#This Row],[Marks]]&gt;=80,"A",IF(Student_Data[[#This Row],[Marks]]&gt;=70,"B",IF(Student_Data[[#This Row],[Marks]]&gt;=60,"C","F"))))</f>
        <v>A</v>
      </c>
      <c r="K99" t="str">
        <f>IF(Student_Data[[#This Row],[Marks]]&gt;=35,"Pass","Fail")</f>
        <v>Pass</v>
      </c>
    </row>
    <row r="100" spans="1:11" x14ac:dyDescent="0.3">
      <c r="A100" t="s">
        <v>183</v>
      </c>
      <c r="B100" t="s">
        <v>184</v>
      </c>
      <c r="C100" t="s">
        <v>25</v>
      </c>
      <c r="D100">
        <v>12</v>
      </c>
      <c r="E100" t="s">
        <v>17</v>
      </c>
      <c r="F100" t="s">
        <v>13</v>
      </c>
      <c r="G100">
        <v>37</v>
      </c>
      <c r="H100">
        <v>62</v>
      </c>
      <c r="I100" t="s">
        <v>40</v>
      </c>
      <c r="J100" t="str">
        <f>IF(Student_Data[[#This Row],[Marks]] &gt;= 90,"A+",IF(Student_Data[[#This Row],[Marks]]&gt;=80,"A",IF(Student_Data[[#This Row],[Marks]]&gt;=70,"B",IF(Student_Data[[#This Row],[Marks]]&gt;=60,"C","F"))))</f>
        <v>F</v>
      </c>
      <c r="K100" t="str">
        <f>IF(Student_Data[[#This Row],[Marks]]&gt;=35,"Pass","Fail")</f>
        <v>Pass</v>
      </c>
    </row>
    <row r="101" spans="1:11" x14ac:dyDescent="0.3">
      <c r="A101" t="s">
        <v>185</v>
      </c>
      <c r="B101" t="s">
        <v>186</v>
      </c>
      <c r="C101" t="s">
        <v>11</v>
      </c>
      <c r="D101">
        <v>12</v>
      </c>
      <c r="E101" t="s">
        <v>33</v>
      </c>
      <c r="F101" t="s">
        <v>13</v>
      </c>
      <c r="G101">
        <v>51</v>
      </c>
      <c r="H101">
        <v>68</v>
      </c>
      <c r="I101" t="s">
        <v>35</v>
      </c>
      <c r="J101" t="str">
        <f>IF(Student_Data[[#This Row],[Marks]] &gt;= 90,"A+",IF(Student_Data[[#This Row],[Marks]]&gt;=80,"A",IF(Student_Data[[#This Row],[Marks]]&gt;=70,"B",IF(Student_Data[[#This Row],[Marks]]&gt;=60,"C","F"))))</f>
        <v>F</v>
      </c>
      <c r="K101" t="str">
        <f>IF(Student_Data[[#This Row],[Marks]]&gt;=35,"Pass","Fail")</f>
        <v>Pass</v>
      </c>
    </row>
    <row r="102" spans="1:11" x14ac:dyDescent="0.3">
      <c r="A102" t="s">
        <v>187</v>
      </c>
      <c r="B102" t="s">
        <v>53</v>
      </c>
      <c r="C102" t="s">
        <v>11</v>
      </c>
      <c r="D102">
        <v>10</v>
      </c>
      <c r="E102" t="s">
        <v>17</v>
      </c>
      <c r="F102" t="s">
        <v>13</v>
      </c>
      <c r="G102">
        <v>62</v>
      </c>
      <c r="H102">
        <v>81</v>
      </c>
      <c r="I102" t="s">
        <v>46</v>
      </c>
      <c r="J102" t="str">
        <f>IF(Student_Data[[#This Row],[Marks]] &gt;= 90,"A+",IF(Student_Data[[#This Row],[Marks]]&gt;=80,"A",IF(Student_Data[[#This Row],[Marks]]&gt;=70,"B",IF(Student_Data[[#This Row],[Marks]]&gt;=60,"C","F"))))</f>
        <v>C</v>
      </c>
      <c r="K102" t="str">
        <f>IF(Student_Data[[#This Row],[Marks]]&gt;=35,"Pass","Fail")</f>
        <v>Pass</v>
      </c>
    </row>
    <row r="103" spans="1:11" x14ac:dyDescent="0.3">
      <c r="A103" t="s">
        <v>188</v>
      </c>
      <c r="B103" t="s">
        <v>189</v>
      </c>
      <c r="C103" t="s">
        <v>11</v>
      </c>
      <c r="D103">
        <v>9</v>
      </c>
      <c r="E103" t="s">
        <v>12</v>
      </c>
      <c r="F103" t="s">
        <v>43</v>
      </c>
      <c r="G103">
        <v>94</v>
      </c>
      <c r="H103">
        <v>95</v>
      </c>
      <c r="I103" t="s">
        <v>31</v>
      </c>
      <c r="J103" t="str">
        <f>IF(Student_Data[[#This Row],[Marks]] &gt;= 90,"A+",IF(Student_Data[[#This Row],[Marks]]&gt;=80,"A",IF(Student_Data[[#This Row],[Marks]]&gt;=70,"B",IF(Student_Data[[#This Row],[Marks]]&gt;=60,"C","F"))))</f>
        <v>A+</v>
      </c>
      <c r="K103" t="str">
        <f>IF(Student_Data[[#This Row],[Marks]]&gt;=35,"Pass","Fail")</f>
        <v>Pass</v>
      </c>
    </row>
    <row r="104" spans="1:11" x14ac:dyDescent="0.3">
      <c r="A104" t="s">
        <v>190</v>
      </c>
      <c r="B104" t="s">
        <v>10</v>
      </c>
      <c r="C104" t="s">
        <v>11</v>
      </c>
      <c r="D104">
        <v>11</v>
      </c>
      <c r="E104" t="s">
        <v>12</v>
      </c>
      <c r="F104" t="s">
        <v>13</v>
      </c>
      <c r="G104">
        <v>78</v>
      </c>
      <c r="H104">
        <v>87</v>
      </c>
      <c r="I104" t="s">
        <v>35</v>
      </c>
      <c r="J104" t="str">
        <f>IF(Student_Data[[#This Row],[Marks]] &gt;= 90,"A+",IF(Student_Data[[#This Row],[Marks]]&gt;=80,"A",IF(Student_Data[[#This Row],[Marks]]&gt;=70,"B",IF(Student_Data[[#This Row],[Marks]]&gt;=60,"C","F"))))</f>
        <v>B</v>
      </c>
      <c r="K104" t="str">
        <f>IF(Student_Data[[#This Row],[Marks]]&gt;=35,"Pass","Fail")</f>
        <v>Pass</v>
      </c>
    </row>
    <row r="105" spans="1:11" x14ac:dyDescent="0.3">
      <c r="A105" t="s">
        <v>191</v>
      </c>
      <c r="B105" t="s">
        <v>75</v>
      </c>
      <c r="C105" t="s">
        <v>11</v>
      </c>
      <c r="D105">
        <v>8</v>
      </c>
      <c r="E105" t="s">
        <v>17</v>
      </c>
      <c r="F105" t="s">
        <v>13</v>
      </c>
      <c r="G105">
        <v>40</v>
      </c>
      <c r="H105">
        <v>69</v>
      </c>
      <c r="I105" t="s">
        <v>19</v>
      </c>
      <c r="J105" t="str">
        <f>IF(Student_Data[[#This Row],[Marks]] &gt;= 90,"A+",IF(Student_Data[[#This Row],[Marks]]&gt;=80,"A",IF(Student_Data[[#This Row],[Marks]]&gt;=70,"B",IF(Student_Data[[#This Row],[Marks]]&gt;=60,"C","F"))))</f>
        <v>F</v>
      </c>
      <c r="K105" t="str">
        <f>IF(Student_Data[[#This Row],[Marks]]&gt;=35,"Pass","Fail")</f>
        <v>Pass</v>
      </c>
    </row>
    <row r="106" spans="1:11" x14ac:dyDescent="0.3">
      <c r="A106" t="s">
        <v>192</v>
      </c>
      <c r="B106" t="s">
        <v>104</v>
      </c>
      <c r="C106" t="s">
        <v>11</v>
      </c>
      <c r="D106">
        <v>10</v>
      </c>
      <c r="E106" t="s">
        <v>33</v>
      </c>
      <c r="F106" t="s">
        <v>22</v>
      </c>
      <c r="G106">
        <v>95</v>
      </c>
      <c r="H106">
        <v>67</v>
      </c>
      <c r="I106" t="s">
        <v>40</v>
      </c>
      <c r="J106" t="str">
        <f>IF(Student_Data[[#This Row],[Marks]] &gt;= 90,"A+",IF(Student_Data[[#This Row],[Marks]]&gt;=80,"A",IF(Student_Data[[#This Row],[Marks]]&gt;=70,"B",IF(Student_Data[[#This Row],[Marks]]&gt;=60,"C","F"))))</f>
        <v>A+</v>
      </c>
      <c r="K106" t="str">
        <f>IF(Student_Data[[#This Row],[Marks]]&gt;=35,"Pass","Fail")</f>
        <v>Pass</v>
      </c>
    </row>
    <row r="107" spans="1:11" x14ac:dyDescent="0.3">
      <c r="A107" t="s">
        <v>193</v>
      </c>
      <c r="B107" t="s">
        <v>21</v>
      </c>
      <c r="C107" t="s">
        <v>11</v>
      </c>
      <c r="D107">
        <v>6</v>
      </c>
      <c r="E107" t="s">
        <v>17</v>
      </c>
      <c r="F107" t="s">
        <v>34</v>
      </c>
      <c r="G107">
        <v>70</v>
      </c>
      <c r="H107">
        <v>76</v>
      </c>
      <c r="I107" t="s">
        <v>46</v>
      </c>
      <c r="J107" t="str">
        <f>IF(Student_Data[[#This Row],[Marks]] &gt;= 90,"A+",IF(Student_Data[[#This Row],[Marks]]&gt;=80,"A",IF(Student_Data[[#This Row],[Marks]]&gt;=70,"B",IF(Student_Data[[#This Row],[Marks]]&gt;=60,"C","F"))))</f>
        <v>B</v>
      </c>
      <c r="K107" t="str">
        <f>IF(Student_Data[[#This Row],[Marks]]&gt;=35,"Pass","Fail")</f>
        <v>Pass</v>
      </c>
    </row>
    <row r="108" spans="1:11" x14ac:dyDescent="0.3">
      <c r="A108" t="s">
        <v>194</v>
      </c>
      <c r="B108" t="s">
        <v>195</v>
      </c>
      <c r="C108" t="s">
        <v>25</v>
      </c>
      <c r="D108">
        <v>10</v>
      </c>
      <c r="E108" t="s">
        <v>12</v>
      </c>
      <c r="F108" t="s">
        <v>22</v>
      </c>
      <c r="G108">
        <v>54</v>
      </c>
      <c r="H108">
        <v>70</v>
      </c>
      <c r="I108" t="s">
        <v>19</v>
      </c>
      <c r="J108" t="str">
        <f>IF(Student_Data[[#This Row],[Marks]] &gt;= 90,"A+",IF(Student_Data[[#This Row],[Marks]]&gt;=80,"A",IF(Student_Data[[#This Row],[Marks]]&gt;=70,"B",IF(Student_Data[[#This Row],[Marks]]&gt;=60,"C","F"))))</f>
        <v>F</v>
      </c>
      <c r="K108" t="str">
        <f>IF(Student_Data[[#This Row],[Marks]]&gt;=35,"Pass","Fail")</f>
        <v>Pass</v>
      </c>
    </row>
    <row r="109" spans="1:11" x14ac:dyDescent="0.3">
      <c r="A109" t="s">
        <v>196</v>
      </c>
      <c r="B109" t="s">
        <v>141</v>
      </c>
      <c r="C109" t="s">
        <v>25</v>
      </c>
      <c r="D109">
        <v>8</v>
      </c>
      <c r="E109" t="s">
        <v>33</v>
      </c>
      <c r="F109" t="s">
        <v>22</v>
      </c>
      <c r="G109">
        <v>88</v>
      </c>
      <c r="H109">
        <v>62</v>
      </c>
      <c r="I109" t="s">
        <v>35</v>
      </c>
      <c r="J109" t="str">
        <f>IF(Student_Data[[#This Row],[Marks]] &gt;= 90,"A+",IF(Student_Data[[#This Row],[Marks]]&gt;=80,"A",IF(Student_Data[[#This Row],[Marks]]&gt;=70,"B",IF(Student_Data[[#This Row],[Marks]]&gt;=60,"C","F"))))</f>
        <v>A</v>
      </c>
      <c r="K109" t="str">
        <f>IF(Student_Data[[#This Row],[Marks]]&gt;=35,"Pass","Fail")</f>
        <v>Pass</v>
      </c>
    </row>
    <row r="110" spans="1:11" x14ac:dyDescent="0.3">
      <c r="A110" t="s">
        <v>197</v>
      </c>
      <c r="B110" t="s">
        <v>198</v>
      </c>
      <c r="C110" t="s">
        <v>11</v>
      </c>
      <c r="D110">
        <v>6</v>
      </c>
      <c r="E110" t="s">
        <v>12</v>
      </c>
      <c r="F110" t="s">
        <v>43</v>
      </c>
      <c r="G110">
        <v>74</v>
      </c>
      <c r="H110">
        <v>66</v>
      </c>
      <c r="I110" t="s">
        <v>40</v>
      </c>
      <c r="J110" t="str">
        <f>IF(Student_Data[[#This Row],[Marks]] &gt;= 90,"A+",IF(Student_Data[[#This Row],[Marks]]&gt;=80,"A",IF(Student_Data[[#This Row],[Marks]]&gt;=70,"B",IF(Student_Data[[#This Row],[Marks]]&gt;=60,"C","F"))))</f>
        <v>B</v>
      </c>
      <c r="K110" t="str">
        <f>IF(Student_Data[[#This Row],[Marks]]&gt;=35,"Pass","Fail")</f>
        <v>Pass</v>
      </c>
    </row>
    <row r="111" spans="1:11" x14ac:dyDescent="0.3">
      <c r="A111" t="s">
        <v>199</v>
      </c>
      <c r="B111" t="s">
        <v>200</v>
      </c>
      <c r="C111" t="s">
        <v>25</v>
      </c>
      <c r="D111">
        <v>7</v>
      </c>
      <c r="E111" t="s">
        <v>12</v>
      </c>
      <c r="F111" t="s">
        <v>26</v>
      </c>
      <c r="G111">
        <v>83</v>
      </c>
      <c r="H111">
        <v>60</v>
      </c>
      <c r="I111" t="s">
        <v>46</v>
      </c>
      <c r="J111" t="str">
        <f>IF(Student_Data[[#This Row],[Marks]] &gt;= 90,"A+",IF(Student_Data[[#This Row],[Marks]]&gt;=80,"A",IF(Student_Data[[#This Row],[Marks]]&gt;=70,"B",IF(Student_Data[[#This Row],[Marks]]&gt;=60,"C","F"))))</f>
        <v>A</v>
      </c>
      <c r="K111" t="str">
        <f>IF(Student_Data[[#This Row],[Marks]]&gt;=35,"Pass","Fail")</f>
        <v>Pass</v>
      </c>
    </row>
    <row r="112" spans="1:11" x14ac:dyDescent="0.3">
      <c r="A112" t="s">
        <v>201</v>
      </c>
      <c r="B112" t="s">
        <v>116</v>
      </c>
      <c r="C112" t="s">
        <v>11</v>
      </c>
      <c r="D112">
        <v>7</v>
      </c>
      <c r="E112" t="s">
        <v>12</v>
      </c>
      <c r="F112" t="s">
        <v>22</v>
      </c>
      <c r="G112">
        <v>77</v>
      </c>
      <c r="H112">
        <v>99</v>
      </c>
      <c r="I112" t="s">
        <v>49</v>
      </c>
      <c r="J112" t="str">
        <f>IF(Student_Data[[#This Row],[Marks]] &gt;= 90,"A+",IF(Student_Data[[#This Row],[Marks]]&gt;=80,"A",IF(Student_Data[[#This Row],[Marks]]&gt;=70,"B",IF(Student_Data[[#This Row],[Marks]]&gt;=60,"C","F"))))</f>
        <v>B</v>
      </c>
      <c r="K112" t="str">
        <f>IF(Student_Data[[#This Row],[Marks]]&gt;=35,"Pass","Fail")</f>
        <v>Pass</v>
      </c>
    </row>
    <row r="113" spans="1:11" x14ac:dyDescent="0.3">
      <c r="A113" t="s">
        <v>202</v>
      </c>
      <c r="B113" t="s">
        <v>173</v>
      </c>
      <c r="C113" t="s">
        <v>25</v>
      </c>
      <c r="D113">
        <v>6</v>
      </c>
      <c r="E113" t="s">
        <v>12</v>
      </c>
      <c r="F113" t="s">
        <v>43</v>
      </c>
      <c r="G113">
        <v>55</v>
      </c>
      <c r="H113">
        <v>73</v>
      </c>
      <c r="I113" t="s">
        <v>49</v>
      </c>
      <c r="J113" t="str">
        <f>IF(Student_Data[[#This Row],[Marks]] &gt;= 90,"A+",IF(Student_Data[[#This Row],[Marks]]&gt;=80,"A",IF(Student_Data[[#This Row],[Marks]]&gt;=70,"B",IF(Student_Data[[#This Row],[Marks]]&gt;=60,"C","F"))))</f>
        <v>F</v>
      </c>
      <c r="K113" t="str">
        <f>IF(Student_Data[[#This Row],[Marks]]&gt;=35,"Pass","Fail")</f>
        <v>Pass</v>
      </c>
    </row>
    <row r="114" spans="1:11" x14ac:dyDescent="0.3">
      <c r="A114" t="s">
        <v>203</v>
      </c>
      <c r="B114" t="s">
        <v>204</v>
      </c>
      <c r="C114" t="s">
        <v>11</v>
      </c>
      <c r="D114">
        <v>8</v>
      </c>
      <c r="E114" t="s">
        <v>12</v>
      </c>
      <c r="F114" t="s">
        <v>22</v>
      </c>
      <c r="G114">
        <v>69</v>
      </c>
      <c r="H114">
        <v>66</v>
      </c>
      <c r="I114" t="s">
        <v>40</v>
      </c>
      <c r="J114" t="str">
        <f>IF(Student_Data[[#This Row],[Marks]] &gt;= 90,"A+",IF(Student_Data[[#This Row],[Marks]]&gt;=80,"A",IF(Student_Data[[#This Row],[Marks]]&gt;=70,"B",IF(Student_Data[[#This Row],[Marks]]&gt;=60,"C","F"))))</f>
        <v>C</v>
      </c>
      <c r="K114" t="str">
        <f>IF(Student_Data[[#This Row],[Marks]]&gt;=35,"Pass","Fail")</f>
        <v>Pass</v>
      </c>
    </row>
    <row r="115" spans="1:11" x14ac:dyDescent="0.3">
      <c r="A115" t="s">
        <v>205</v>
      </c>
      <c r="B115" t="s">
        <v>45</v>
      </c>
      <c r="C115" t="s">
        <v>25</v>
      </c>
      <c r="D115">
        <v>9</v>
      </c>
      <c r="E115" t="s">
        <v>33</v>
      </c>
      <c r="F115" t="s">
        <v>26</v>
      </c>
      <c r="G115">
        <v>92</v>
      </c>
      <c r="H115">
        <v>66</v>
      </c>
      <c r="I115" t="s">
        <v>40</v>
      </c>
      <c r="J115" t="str">
        <f>IF(Student_Data[[#This Row],[Marks]] &gt;= 90,"A+",IF(Student_Data[[#This Row],[Marks]]&gt;=80,"A",IF(Student_Data[[#This Row],[Marks]]&gt;=70,"B",IF(Student_Data[[#This Row],[Marks]]&gt;=60,"C","F"))))</f>
        <v>A+</v>
      </c>
      <c r="K115" t="str">
        <f>IF(Student_Data[[#This Row],[Marks]]&gt;=35,"Pass","Fail")</f>
        <v>Pass</v>
      </c>
    </row>
    <row r="116" spans="1:11" x14ac:dyDescent="0.3">
      <c r="A116" t="s">
        <v>206</v>
      </c>
      <c r="B116" t="s">
        <v>112</v>
      </c>
      <c r="C116" t="s">
        <v>11</v>
      </c>
      <c r="D116">
        <v>7</v>
      </c>
      <c r="E116" t="s">
        <v>17</v>
      </c>
      <c r="F116" t="s">
        <v>22</v>
      </c>
      <c r="G116">
        <v>73</v>
      </c>
      <c r="H116">
        <v>92</v>
      </c>
      <c r="I116" t="s">
        <v>19</v>
      </c>
      <c r="J116" t="str">
        <f>IF(Student_Data[[#This Row],[Marks]] &gt;= 90,"A+",IF(Student_Data[[#This Row],[Marks]]&gt;=80,"A",IF(Student_Data[[#This Row],[Marks]]&gt;=70,"B",IF(Student_Data[[#This Row],[Marks]]&gt;=60,"C","F"))))</f>
        <v>B</v>
      </c>
      <c r="K116" t="str">
        <f>IF(Student_Data[[#This Row],[Marks]]&gt;=35,"Pass","Fail")</f>
        <v>Pass</v>
      </c>
    </row>
    <row r="117" spans="1:11" x14ac:dyDescent="0.3">
      <c r="A117" t="s">
        <v>207</v>
      </c>
      <c r="B117" t="s">
        <v>121</v>
      </c>
      <c r="C117" t="s">
        <v>11</v>
      </c>
      <c r="D117">
        <v>10</v>
      </c>
      <c r="E117" t="s">
        <v>17</v>
      </c>
      <c r="F117" t="s">
        <v>18</v>
      </c>
      <c r="G117">
        <v>41</v>
      </c>
      <c r="H117">
        <v>68</v>
      </c>
      <c r="I117" t="s">
        <v>35</v>
      </c>
      <c r="J117" t="str">
        <f>IF(Student_Data[[#This Row],[Marks]] &gt;= 90,"A+",IF(Student_Data[[#This Row],[Marks]]&gt;=80,"A",IF(Student_Data[[#This Row],[Marks]]&gt;=70,"B",IF(Student_Data[[#This Row],[Marks]]&gt;=60,"C","F"))))</f>
        <v>F</v>
      </c>
      <c r="K117" t="str">
        <f>IF(Student_Data[[#This Row],[Marks]]&gt;=35,"Pass","Fail")</f>
        <v>Pass</v>
      </c>
    </row>
    <row r="118" spans="1:11" x14ac:dyDescent="0.3">
      <c r="A118" t="s">
        <v>208</v>
      </c>
      <c r="B118" t="s">
        <v>114</v>
      </c>
      <c r="C118" t="s">
        <v>25</v>
      </c>
      <c r="D118">
        <v>12</v>
      </c>
      <c r="E118" t="s">
        <v>17</v>
      </c>
      <c r="F118" t="s">
        <v>26</v>
      </c>
      <c r="G118">
        <v>90</v>
      </c>
      <c r="H118">
        <v>81</v>
      </c>
      <c r="I118" t="s">
        <v>19</v>
      </c>
      <c r="J118" t="str">
        <f>IF(Student_Data[[#This Row],[Marks]] &gt;= 90,"A+",IF(Student_Data[[#This Row],[Marks]]&gt;=80,"A",IF(Student_Data[[#This Row],[Marks]]&gt;=70,"B",IF(Student_Data[[#This Row],[Marks]]&gt;=60,"C","F"))))</f>
        <v>A+</v>
      </c>
      <c r="K118" t="str">
        <f>IF(Student_Data[[#This Row],[Marks]]&gt;=35,"Pass","Fail")</f>
        <v>Pass</v>
      </c>
    </row>
    <row r="119" spans="1:11" x14ac:dyDescent="0.3">
      <c r="A119" t="s">
        <v>209</v>
      </c>
      <c r="B119" t="s">
        <v>42</v>
      </c>
      <c r="C119" t="s">
        <v>25</v>
      </c>
      <c r="D119">
        <v>12</v>
      </c>
      <c r="E119" t="s">
        <v>33</v>
      </c>
      <c r="F119" t="s">
        <v>22</v>
      </c>
      <c r="G119">
        <v>58</v>
      </c>
      <c r="H119">
        <v>87</v>
      </c>
      <c r="I119" t="s">
        <v>19</v>
      </c>
      <c r="J119" t="str">
        <f>IF(Student_Data[[#This Row],[Marks]] &gt;= 90,"A+",IF(Student_Data[[#This Row],[Marks]]&gt;=80,"A",IF(Student_Data[[#This Row],[Marks]]&gt;=70,"B",IF(Student_Data[[#This Row],[Marks]]&gt;=60,"C","F"))))</f>
        <v>F</v>
      </c>
      <c r="K119" t="str">
        <f>IF(Student_Data[[#This Row],[Marks]]&gt;=35,"Pass","Fail")</f>
        <v>Pass</v>
      </c>
    </row>
    <row r="120" spans="1:11" x14ac:dyDescent="0.3">
      <c r="A120" t="s">
        <v>210</v>
      </c>
      <c r="B120" t="s">
        <v>211</v>
      </c>
      <c r="C120" t="s">
        <v>25</v>
      </c>
      <c r="D120">
        <v>6</v>
      </c>
      <c r="E120" t="s">
        <v>12</v>
      </c>
      <c r="F120" t="s">
        <v>26</v>
      </c>
      <c r="G120">
        <v>63</v>
      </c>
      <c r="H120">
        <v>75</v>
      </c>
      <c r="I120" t="s">
        <v>31</v>
      </c>
      <c r="J120" t="str">
        <f>IF(Student_Data[[#This Row],[Marks]] &gt;= 90,"A+",IF(Student_Data[[#This Row],[Marks]]&gt;=80,"A",IF(Student_Data[[#This Row],[Marks]]&gt;=70,"B",IF(Student_Data[[#This Row],[Marks]]&gt;=60,"C","F"))))</f>
        <v>C</v>
      </c>
      <c r="K120" t="str">
        <f>IF(Student_Data[[#This Row],[Marks]]&gt;=35,"Pass","Fail")</f>
        <v>Pass</v>
      </c>
    </row>
    <row r="121" spans="1:11" x14ac:dyDescent="0.3">
      <c r="A121" t="s">
        <v>212</v>
      </c>
      <c r="B121" t="s">
        <v>42</v>
      </c>
      <c r="C121" t="s">
        <v>25</v>
      </c>
      <c r="D121">
        <v>7</v>
      </c>
      <c r="E121" t="s">
        <v>12</v>
      </c>
      <c r="F121" t="s">
        <v>43</v>
      </c>
      <c r="G121">
        <v>100</v>
      </c>
      <c r="H121">
        <v>93</v>
      </c>
      <c r="I121" t="s">
        <v>31</v>
      </c>
      <c r="J121" t="str">
        <f>IF(Student_Data[[#This Row],[Marks]] &gt;= 90,"A+",IF(Student_Data[[#This Row],[Marks]]&gt;=80,"A",IF(Student_Data[[#This Row],[Marks]]&gt;=70,"B",IF(Student_Data[[#This Row],[Marks]]&gt;=60,"C","F"))))</f>
        <v>A+</v>
      </c>
      <c r="K121" t="str">
        <f>IF(Student_Data[[#This Row],[Marks]]&gt;=35,"Pass","Fail")</f>
        <v>Pass</v>
      </c>
    </row>
    <row r="122" spans="1:11" x14ac:dyDescent="0.3">
      <c r="A122" t="s">
        <v>213</v>
      </c>
      <c r="B122" t="s">
        <v>214</v>
      </c>
      <c r="C122" t="s">
        <v>11</v>
      </c>
      <c r="D122">
        <v>12</v>
      </c>
      <c r="E122" t="s">
        <v>12</v>
      </c>
      <c r="F122" t="s">
        <v>22</v>
      </c>
      <c r="G122">
        <v>98</v>
      </c>
      <c r="H122">
        <v>73</v>
      </c>
      <c r="I122" t="s">
        <v>31</v>
      </c>
      <c r="J122" t="str">
        <f>IF(Student_Data[[#This Row],[Marks]] &gt;= 90,"A+",IF(Student_Data[[#This Row],[Marks]]&gt;=80,"A",IF(Student_Data[[#This Row],[Marks]]&gt;=70,"B",IF(Student_Data[[#This Row],[Marks]]&gt;=60,"C","F"))))</f>
        <v>A+</v>
      </c>
      <c r="K122" t="str">
        <f>IF(Student_Data[[#This Row],[Marks]]&gt;=35,"Pass","Fail")</f>
        <v>Pass</v>
      </c>
    </row>
    <row r="123" spans="1:11" x14ac:dyDescent="0.3">
      <c r="A123" t="s">
        <v>215</v>
      </c>
      <c r="B123" t="s">
        <v>39</v>
      </c>
      <c r="C123" t="s">
        <v>11</v>
      </c>
      <c r="D123">
        <v>10</v>
      </c>
      <c r="E123" t="s">
        <v>12</v>
      </c>
      <c r="F123" t="s">
        <v>43</v>
      </c>
      <c r="G123">
        <v>42</v>
      </c>
      <c r="H123">
        <v>87</v>
      </c>
      <c r="I123" t="s">
        <v>19</v>
      </c>
      <c r="J123" t="str">
        <f>IF(Student_Data[[#This Row],[Marks]] &gt;= 90,"A+",IF(Student_Data[[#This Row],[Marks]]&gt;=80,"A",IF(Student_Data[[#This Row],[Marks]]&gt;=70,"B",IF(Student_Data[[#This Row],[Marks]]&gt;=60,"C","F"))))</f>
        <v>F</v>
      </c>
      <c r="K123" t="str">
        <f>IF(Student_Data[[#This Row],[Marks]]&gt;=35,"Pass","Fail")</f>
        <v>Pass</v>
      </c>
    </row>
    <row r="124" spans="1:11" x14ac:dyDescent="0.3">
      <c r="A124" t="s">
        <v>216</v>
      </c>
      <c r="B124" t="s">
        <v>171</v>
      </c>
      <c r="C124" t="s">
        <v>25</v>
      </c>
      <c r="D124">
        <v>6</v>
      </c>
      <c r="E124" t="s">
        <v>17</v>
      </c>
      <c r="F124" t="s">
        <v>43</v>
      </c>
      <c r="G124">
        <v>87</v>
      </c>
      <c r="H124">
        <v>81</v>
      </c>
      <c r="I124" t="s">
        <v>14</v>
      </c>
      <c r="J124" t="str">
        <f>IF(Student_Data[[#This Row],[Marks]] &gt;= 90,"A+",IF(Student_Data[[#This Row],[Marks]]&gt;=80,"A",IF(Student_Data[[#This Row],[Marks]]&gt;=70,"B",IF(Student_Data[[#This Row],[Marks]]&gt;=60,"C","F"))))</f>
        <v>A</v>
      </c>
      <c r="K124" t="str">
        <f>IF(Student_Data[[#This Row],[Marks]]&gt;=35,"Pass","Fail")</f>
        <v>Pass</v>
      </c>
    </row>
    <row r="125" spans="1:11" x14ac:dyDescent="0.3">
      <c r="A125" t="s">
        <v>217</v>
      </c>
      <c r="B125" t="s">
        <v>59</v>
      </c>
      <c r="C125" t="s">
        <v>25</v>
      </c>
      <c r="D125">
        <v>12</v>
      </c>
      <c r="E125" t="s">
        <v>17</v>
      </c>
      <c r="F125" t="s">
        <v>43</v>
      </c>
      <c r="G125">
        <v>90</v>
      </c>
      <c r="H125">
        <v>85</v>
      </c>
      <c r="I125" t="s">
        <v>19</v>
      </c>
      <c r="J125" t="str">
        <f>IF(Student_Data[[#This Row],[Marks]] &gt;= 90,"A+",IF(Student_Data[[#This Row],[Marks]]&gt;=80,"A",IF(Student_Data[[#This Row],[Marks]]&gt;=70,"B",IF(Student_Data[[#This Row],[Marks]]&gt;=60,"C","F"))))</f>
        <v>A+</v>
      </c>
      <c r="K125" t="str">
        <f>IF(Student_Data[[#This Row],[Marks]]&gt;=35,"Pass","Fail")</f>
        <v>Pass</v>
      </c>
    </row>
    <row r="126" spans="1:11" x14ac:dyDescent="0.3">
      <c r="A126" t="s">
        <v>218</v>
      </c>
      <c r="B126" t="s">
        <v>104</v>
      </c>
      <c r="C126" t="s">
        <v>25</v>
      </c>
      <c r="D126">
        <v>11</v>
      </c>
      <c r="E126" t="s">
        <v>12</v>
      </c>
      <c r="F126" t="s">
        <v>18</v>
      </c>
      <c r="G126">
        <v>93</v>
      </c>
      <c r="H126">
        <v>69</v>
      </c>
      <c r="I126" t="s">
        <v>40</v>
      </c>
      <c r="J126" t="str">
        <f>IF(Student_Data[[#This Row],[Marks]] &gt;= 90,"A+",IF(Student_Data[[#This Row],[Marks]]&gt;=80,"A",IF(Student_Data[[#This Row],[Marks]]&gt;=70,"B",IF(Student_Data[[#This Row],[Marks]]&gt;=60,"C","F"))))</f>
        <v>A+</v>
      </c>
      <c r="K126" t="str">
        <f>IF(Student_Data[[#This Row],[Marks]]&gt;=35,"Pass","Fail")</f>
        <v>Pass</v>
      </c>
    </row>
    <row r="127" spans="1:11" x14ac:dyDescent="0.3">
      <c r="A127" t="s">
        <v>219</v>
      </c>
      <c r="B127" t="s">
        <v>63</v>
      </c>
      <c r="C127" t="s">
        <v>11</v>
      </c>
      <c r="D127">
        <v>11</v>
      </c>
      <c r="E127" t="s">
        <v>33</v>
      </c>
      <c r="F127" t="s">
        <v>13</v>
      </c>
      <c r="G127">
        <v>67</v>
      </c>
      <c r="H127">
        <v>60</v>
      </c>
      <c r="I127" t="s">
        <v>35</v>
      </c>
      <c r="J127" t="str">
        <f>IF(Student_Data[[#This Row],[Marks]] &gt;= 90,"A+",IF(Student_Data[[#This Row],[Marks]]&gt;=80,"A",IF(Student_Data[[#This Row],[Marks]]&gt;=70,"B",IF(Student_Data[[#This Row],[Marks]]&gt;=60,"C","F"))))</f>
        <v>C</v>
      </c>
      <c r="K127" t="str">
        <f>IF(Student_Data[[#This Row],[Marks]]&gt;=35,"Pass","Fail")</f>
        <v>Pass</v>
      </c>
    </row>
    <row r="128" spans="1:11" x14ac:dyDescent="0.3">
      <c r="A128" t="s">
        <v>220</v>
      </c>
      <c r="B128" t="s">
        <v>221</v>
      </c>
      <c r="C128" t="s">
        <v>11</v>
      </c>
      <c r="D128">
        <v>7</v>
      </c>
      <c r="E128" t="s">
        <v>12</v>
      </c>
      <c r="F128" t="s">
        <v>43</v>
      </c>
      <c r="G128">
        <v>59</v>
      </c>
      <c r="H128">
        <v>83</v>
      </c>
      <c r="I128" t="s">
        <v>19</v>
      </c>
      <c r="J128" t="str">
        <f>IF(Student_Data[[#This Row],[Marks]] &gt;= 90,"A+",IF(Student_Data[[#This Row],[Marks]]&gt;=80,"A",IF(Student_Data[[#This Row],[Marks]]&gt;=70,"B",IF(Student_Data[[#This Row],[Marks]]&gt;=60,"C","F"))))</f>
        <v>F</v>
      </c>
      <c r="K128" t="str">
        <f>IF(Student_Data[[#This Row],[Marks]]&gt;=35,"Pass","Fail")</f>
        <v>Pass</v>
      </c>
    </row>
    <row r="129" spans="1:11" x14ac:dyDescent="0.3">
      <c r="A129" t="s">
        <v>222</v>
      </c>
      <c r="B129" t="s">
        <v>184</v>
      </c>
      <c r="C129" t="s">
        <v>25</v>
      </c>
      <c r="D129">
        <v>12</v>
      </c>
      <c r="E129" t="s">
        <v>12</v>
      </c>
      <c r="F129" t="s">
        <v>26</v>
      </c>
      <c r="G129">
        <v>62</v>
      </c>
      <c r="H129">
        <v>93</v>
      </c>
      <c r="I129" t="s">
        <v>46</v>
      </c>
      <c r="J129" t="str">
        <f>IF(Student_Data[[#This Row],[Marks]] &gt;= 90,"A+",IF(Student_Data[[#This Row],[Marks]]&gt;=80,"A",IF(Student_Data[[#This Row],[Marks]]&gt;=70,"B",IF(Student_Data[[#This Row],[Marks]]&gt;=60,"C","F"))))</f>
        <v>C</v>
      </c>
      <c r="K129" t="str">
        <f>IF(Student_Data[[#This Row],[Marks]]&gt;=35,"Pass","Fail")</f>
        <v>Pass</v>
      </c>
    </row>
    <row r="130" spans="1:11" x14ac:dyDescent="0.3">
      <c r="A130" t="s">
        <v>223</v>
      </c>
      <c r="B130" t="s">
        <v>224</v>
      </c>
      <c r="C130" t="s">
        <v>11</v>
      </c>
      <c r="D130">
        <v>12</v>
      </c>
      <c r="E130" t="s">
        <v>17</v>
      </c>
      <c r="F130" t="s">
        <v>22</v>
      </c>
      <c r="G130">
        <v>54</v>
      </c>
      <c r="H130">
        <v>64</v>
      </c>
      <c r="I130" t="s">
        <v>35</v>
      </c>
      <c r="J130" t="str">
        <f>IF(Student_Data[[#This Row],[Marks]] &gt;= 90,"A+",IF(Student_Data[[#This Row],[Marks]]&gt;=80,"A",IF(Student_Data[[#This Row],[Marks]]&gt;=70,"B",IF(Student_Data[[#This Row],[Marks]]&gt;=60,"C","F"))))</f>
        <v>F</v>
      </c>
      <c r="K130" t="str">
        <f>IF(Student_Data[[#This Row],[Marks]]&gt;=35,"Pass","Fail")</f>
        <v>Pass</v>
      </c>
    </row>
    <row r="131" spans="1:11" x14ac:dyDescent="0.3">
      <c r="A131" t="s">
        <v>225</v>
      </c>
      <c r="B131" t="s">
        <v>226</v>
      </c>
      <c r="C131" t="s">
        <v>11</v>
      </c>
      <c r="D131">
        <v>12</v>
      </c>
      <c r="E131" t="s">
        <v>33</v>
      </c>
      <c r="F131" t="s">
        <v>18</v>
      </c>
      <c r="G131">
        <v>89</v>
      </c>
      <c r="H131">
        <v>81</v>
      </c>
      <c r="I131" t="s">
        <v>46</v>
      </c>
      <c r="J131" t="str">
        <f>IF(Student_Data[[#This Row],[Marks]] &gt;= 90,"A+",IF(Student_Data[[#This Row],[Marks]]&gt;=80,"A",IF(Student_Data[[#This Row],[Marks]]&gt;=70,"B",IF(Student_Data[[#This Row],[Marks]]&gt;=60,"C","F"))))</f>
        <v>A</v>
      </c>
      <c r="K131" t="str">
        <f>IF(Student_Data[[#This Row],[Marks]]&gt;=35,"Pass","Fail")</f>
        <v>Pass</v>
      </c>
    </row>
    <row r="132" spans="1:11" x14ac:dyDescent="0.3">
      <c r="A132" t="s">
        <v>227</v>
      </c>
      <c r="B132" t="s">
        <v>228</v>
      </c>
      <c r="C132" t="s">
        <v>11</v>
      </c>
      <c r="D132">
        <v>12</v>
      </c>
      <c r="E132" t="s">
        <v>17</v>
      </c>
      <c r="F132" t="s">
        <v>22</v>
      </c>
      <c r="G132">
        <v>53</v>
      </c>
      <c r="H132">
        <v>78</v>
      </c>
      <c r="I132" t="s">
        <v>46</v>
      </c>
      <c r="J132" t="str">
        <f>IF(Student_Data[[#This Row],[Marks]] &gt;= 90,"A+",IF(Student_Data[[#This Row],[Marks]]&gt;=80,"A",IF(Student_Data[[#This Row],[Marks]]&gt;=70,"B",IF(Student_Data[[#This Row],[Marks]]&gt;=60,"C","F"))))</f>
        <v>F</v>
      </c>
      <c r="K132" t="str">
        <f>IF(Student_Data[[#This Row],[Marks]]&gt;=35,"Pass","Fail")</f>
        <v>Pass</v>
      </c>
    </row>
    <row r="133" spans="1:11" x14ac:dyDescent="0.3">
      <c r="A133" t="s">
        <v>229</v>
      </c>
      <c r="B133" t="s">
        <v>230</v>
      </c>
      <c r="C133" t="s">
        <v>25</v>
      </c>
      <c r="D133">
        <v>11</v>
      </c>
      <c r="E133" t="s">
        <v>17</v>
      </c>
      <c r="F133" t="s">
        <v>22</v>
      </c>
      <c r="G133">
        <v>98</v>
      </c>
      <c r="H133">
        <v>82</v>
      </c>
      <c r="I133" t="s">
        <v>46</v>
      </c>
      <c r="J133" t="str">
        <f>IF(Student_Data[[#This Row],[Marks]] &gt;= 90,"A+",IF(Student_Data[[#This Row],[Marks]]&gt;=80,"A",IF(Student_Data[[#This Row],[Marks]]&gt;=70,"B",IF(Student_Data[[#This Row],[Marks]]&gt;=60,"C","F"))))</f>
        <v>A+</v>
      </c>
      <c r="K133" t="str">
        <f>IF(Student_Data[[#This Row],[Marks]]&gt;=35,"Pass","Fail")</f>
        <v>Pass</v>
      </c>
    </row>
    <row r="134" spans="1:11" x14ac:dyDescent="0.3">
      <c r="A134" t="s">
        <v>231</v>
      </c>
      <c r="B134" t="s">
        <v>232</v>
      </c>
      <c r="C134" t="s">
        <v>11</v>
      </c>
      <c r="D134">
        <v>10</v>
      </c>
      <c r="E134" t="s">
        <v>33</v>
      </c>
      <c r="F134" t="s">
        <v>22</v>
      </c>
      <c r="G134">
        <v>47</v>
      </c>
      <c r="H134">
        <v>71</v>
      </c>
      <c r="I134" t="s">
        <v>14</v>
      </c>
      <c r="J134" t="str">
        <f>IF(Student_Data[[#This Row],[Marks]] &gt;= 90,"A+",IF(Student_Data[[#This Row],[Marks]]&gt;=80,"A",IF(Student_Data[[#This Row],[Marks]]&gt;=70,"B",IF(Student_Data[[#This Row],[Marks]]&gt;=60,"C","F"))))</f>
        <v>F</v>
      </c>
      <c r="K134" t="str">
        <f>IF(Student_Data[[#This Row],[Marks]]&gt;=35,"Pass","Fail")</f>
        <v>Pass</v>
      </c>
    </row>
    <row r="135" spans="1:11" x14ac:dyDescent="0.3">
      <c r="A135" t="s">
        <v>233</v>
      </c>
      <c r="B135" t="s">
        <v>107</v>
      </c>
      <c r="C135" t="s">
        <v>11</v>
      </c>
      <c r="D135">
        <v>6</v>
      </c>
      <c r="E135" t="s">
        <v>33</v>
      </c>
      <c r="F135" t="s">
        <v>34</v>
      </c>
      <c r="G135">
        <v>95</v>
      </c>
      <c r="H135">
        <v>85</v>
      </c>
      <c r="I135" t="s">
        <v>14</v>
      </c>
      <c r="J135" t="str">
        <f>IF(Student_Data[[#This Row],[Marks]] &gt;= 90,"A+",IF(Student_Data[[#This Row],[Marks]]&gt;=80,"A",IF(Student_Data[[#This Row],[Marks]]&gt;=70,"B",IF(Student_Data[[#This Row],[Marks]]&gt;=60,"C","F"))))</f>
        <v>A+</v>
      </c>
      <c r="K135" t="str">
        <f>IF(Student_Data[[#This Row],[Marks]]&gt;=35,"Pass","Fail")</f>
        <v>Pass</v>
      </c>
    </row>
    <row r="136" spans="1:11" x14ac:dyDescent="0.3">
      <c r="A136" t="s">
        <v>234</v>
      </c>
      <c r="B136" t="s">
        <v>173</v>
      </c>
      <c r="C136" t="s">
        <v>25</v>
      </c>
      <c r="D136">
        <v>6</v>
      </c>
      <c r="E136" t="s">
        <v>12</v>
      </c>
      <c r="F136" t="s">
        <v>13</v>
      </c>
      <c r="G136">
        <v>95</v>
      </c>
      <c r="H136">
        <v>67</v>
      </c>
      <c r="I136" t="s">
        <v>31</v>
      </c>
      <c r="J136" t="str">
        <f>IF(Student_Data[[#This Row],[Marks]] &gt;= 90,"A+",IF(Student_Data[[#This Row],[Marks]]&gt;=80,"A",IF(Student_Data[[#This Row],[Marks]]&gt;=70,"B",IF(Student_Data[[#This Row],[Marks]]&gt;=60,"C","F"))))</f>
        <v>A+</v>
      </c>
      <c r="K136" t="str">
        <f>IF(Student_Data[[#This Row],[Marks]]&gt;=35,"Pass","Fail")</f>
        <v>Pass</v>
      </c>
    </row>
    <row r="137" spans="1:11" x14ac:dyDescent="0.3">
      <c r="A137" t="s">
        <v>235</v>
      </c>
      <c r="B137" t="s">
        <v>236</v>
      </c>
      <c r="C137" t="s">
        <v>25</v>
      </c>
      <c r="D137">
        <v>12</v>
      </c>
      <c r="E137" t="s">
        <v>17</v>
      </c>
      <c r="F137" t="s">
        <v>13</v>
      </c>
      <c r="G137">
        <v>98</v>
      </c>
      <c r="H137">
        <v>94</v>
      </c>
      <c r="I137" t="s">
        <v>14</v>
      </c>
      <c r="J137" t="str">
        <f>IF(Student_Data[[#This Row],[Marks]] &gt;= 90,"A+",IF(Student_Data[[#This Row],[Marks]]&gt;=80,"A",IF(Student_Data[[#This Row],[Marks]]&gt;=70,"B",IF(Student_Data[[#This Row],[Marks]]&gt;=60,"C","F"))))</f>
        <v>A+</v>
      </c>
      <c r="K137" t="str">
        <f>IF(Student_Data[[#This Row],[Marks]]&gt;=35,"Pass","Fail")</f>
        <v>Pass</v>
      </c>
    </row>
    <row r="138" spans="1:11" x14ac:dyDescent="0.3">
      <c r="A138" t="s">
        <v>237</v>
      </c>
      <c r="B138" t="s">
        <v>30</v>
      </c>
      <c r="C138" t="s">
        <v>25</v>
      </c>
      <c r="D138">
        <v>10</v>
      </c>
      <c r="E138" t="s">
        <v>33</v>
      </c>
      <c r="F138" t="s">
        <v>34</v>
      </c>
      <c r="G138">
        <v>54</v>
      </c>
      <c r="H138">
        <v>92</v>
      </c>
      <c r="I138" t="s">
        <v>46</v>
      </c>
      <c r="J138" t="str">
        <f>IF(Student_Data[[#This Row],[Marks]] &gt;= 90,"A+",IF(Student_Data[[#This Row],[Marks]]&gt;=80,"A",IF(Student_Data[[#This Row],[Marks]]&gt;=70,"B",IF(Student_Data[[#This Row],[Marks]]&gt;=60,"C","F"))))</f>
        <v>F</v>
      </c>
      <c r="K138" t="str">
        <f>IF(Student_Data[[#This Row],[Marks]]&gt;=35,"Pass","Fail")</f>
        <v>Pass</v>
      </c>
    </row>
    <row r="139" spans="1:11" x14ac:dyDescent="0.3">
      <c r="A139" t="s">
        <v>238</v>
      </c>
      <c r="B139" t="s">
        <v>239</v>
      </c>
      <c r="C139" t="s">
        <v>11</v>
      </c>
      <c r="D139">
        <v>11</v>
      </c>
      <c r="E139" t="s">
        <v>17</v>
      </c>
      <c r="F139" t="s">
        <v>18</v>
      </c>
      <c r="G139">
        <v>88</v>
      </c>
      <c r="H139">
        <v>76</v>
      </c>
      <c r="I139" t="s">
        <v>35</v>
      </c>
      <c r="J139" t="str">
        <f>IF(Student_Data[[#This Row],[Marks]] &gt;= 90,"A+",IF(Student_Data[[#This Row],[Marks]]&gt;=80,"A",IF(Student_Data[[#This Row],[Marks]]&gt;=70,"B",IF(Student_Data[[#This Row],[Marks]]&gt;=60,"C","F"))))</f>
        <v>A</v>
      </c>
      <c r="K139" t="str">
        <f>IF(Student_Data[[#This Row],[Marks]]&gt;=35,"Pass","Fail")</f>
        <v>Pass</v>
      </c>
    </row>
    <row r="140" spans="1:11" x14ac:dyDescent="0.3">
      <c r="A140" t="s">
        <v>240</v>
      </c>
      <c r="B140" t="s">
        <v>198</v>
      </c>
      <c r="C140" t="s">
        <v>25</v>
      </c>
      <c r="D140">
        <v>7</v>
      </c>
      <c r="E140" t="s">
        <v>17</v>
      </c>
      <c r="F140" t="s">
        <v>34</v>
      </c>
      <c r="G140">
        <v>60</v>
      </c>
      <c r="H140">
        <v>80</v>
      </c>
      <c r="I140" t="s">
        <v>19</v>
      </c>
      <c r="J140" t="str">
        <f>IF(Student_Data[[#This Row],[Marks]] &gt;= 90,"A+",IF(Student_Data[[#This Row],[Marks]]&gt;=80,"A",IF(Student_Data[[#This Row],[Marks]]&gt;=70,"B",IF(Student_Data[[#This Row],[Marks]]&gt;=60,"C","F"))))</f>
        <v>C</v>
      </c>
      <c r="K140" t="str">
        <f>IF(Student_Data[[#This Row],[Marks]]&gt;=35,"Pass","Fail")</f>
        <v>Pass</v>
      </c>
    </row>
    <row r="141" spans="1:11" x14ac:dyDescent="0.3">
      <c r="A141" t="s">
        <v>241</v>
      </c>
      <c r="B141" t="s">
        <v>242</v>
      </c>
      <c r="C141" t="s">
        <v>25</v>
      </c>
      <c r="D141">
        <v>11</v>
      </c>
      <c r="E141" t="s">
        <v>33</v>
      </c>
      <c r="F141" t="s">
        <v>43</v>
      </c>
      <c r="G141">
        <v>63</v>
      </c>
      <c r="H141">
        <v>63</v>
      </c>
      <c r="I141" t="s">
        <v>46</v>
      </c>
      <c r="J141" t="str">
        <f>IF(Student_Data[[#This Row],[Marks]] &gt;= 90,"A+",IF(Student_Data[[#This Row],[Marks]]&gt;=80,"A",IF(Student_Data[[#This Row],[Marks]]&gt;=70,"B",IF(Student_Data[[#This Row],[Marks]]&gt;=60,"C","F"))))</f>
        <v>C</v>
      </c>
      <c r="K141" t="str">
        <f>IF(Student_Data[[#This Row],[Marks]]&gt;=35,"Pass","Fail")</f>
        <v>Pass</v>
      </c>
    </row>
    <row r="142" spans="1:11" x14ac:dyDescent="0.3">
      <c r="A142" t="s">
        <v>243</v>
      </c>
      <c r="B142" t="s">
        <v>244</v>
      </c>
      <c r="C142" t="s">
        <v>11</v>
      </c>
      <c r="D142">
        <v>8</v>
      </c>
      <c r="E142" t="s">
        <v>33</v>
      </c>
      <c r="F142" t="s">
        <v>22</v>
      </c>
      <c r="G142">
        <v>73</v>
      </c>
      <c r="H142">
        <v>70</v>
      </c>
      <c r="I142" t="s">
        <v>31</v>
      </c>
      <c r="J142" t="str">
        <f>IF(Student_Data[[#This Row],[Marks]] &gt;= 90,"A+",IF(Student_Data[[#This Row],[Marks]]&gt;=80,"A",IF(Student_Data[[#This Row],[Marks]]&gt;=70,"B",IF(Student_Data[[#This Row],[Marks]]&gt;=60,"C","F"))))</f>
        <v>B</v>
      </c>
      <c r="K142" t="str">
        <f>IF(Student_Data[[#This Row],[Marks]]&gt;=35,"Pass","Fail")</f>
        <v>Pass</v>
      </c>
    </row>
    <row r="143" spans="1:11" x14ac:dyDescent="0.3">
      <c r="A143" t="s">
        <v>245</v>
      </c>
      <c r="B143" t="s">
        <v>195</v>
      </c>
      <c r="C143" t="s">
        <v>11</v>
      </c>
      <c r="D143">
        <v>6</v>
      </c>
      <c r="E143" t="s">
        <v>12</v>
      </c>
      <c r="F143" t="s">
        <v>13</v>
      </c>
      <c r="G143">
        <v>70</v>
      </c>
      <c r="H143">
        <v>68</v>
      </c>
      <c r="I143" t="s">
        <v>19</v>
      </c>
      <c r="J143" t="str">
        <f>IF(Student_Data[[#This Row],[Marks]] &gt;= 90,"A+",IF(Student_Data[[#This Row],[Marks]]&gt;=80,"A",IF(Student_Data[[#This Row],[Marks]]&gt;=70,"B",IF(Student_Data[[#This Row],[Marks]]&gt;=60,"C","F"))))</f>
        <v>B</v>
      </c>
      <c r="K143" t="str">
        <f>IF(Student_Data[[#This Row],[Marks]]&gt;=35,"Pass","Fail")</f>
        <v>Pass</v>
      </c>
    </row>
    <row r="144" spans="1:11" x14ac:dyDescent="0.3">
      <c r="A144" t="s">
        <v>246</v>
      </c>
      <c r="B144" t="s">
        <v>247</v>
      </c>
      <c r="C144" t="s">
        <v>25</v>
      </c>
      <c r="D144">
        <v>7</v>
      </c>
      <c r="E144" t="s">
        <v>12</v>
      </c>
      <c r="F144" t="s">
        <v>18</v>
      </c>
      <c r="G144">
        <v>89</v>
      </c>
      <c r="H144">
        <v>89</v>
      </c>
      <c r="I144" t="s">
        <v>49</v>
      </c>
      <c r="J144" t="str">
        <f>IF(Student_Data[[#This Row],[Marks]] &gt;= 90,"A+",IF(Student_Data[[#This Row],[Marks]]&gt;=80,"A",IF(Student_Data[[#This Row],[Marks]]&gt;=70,"B",IF(Student_Data[[#This Row],[Marks]]&gt;=60,"C","F"))))</f>
        <v>A</v>
      </c>
      <c r="K144" t="str">
        <f>IF(Student_Data[[#This Row],[Marks]]&gt;=35,"Pass","Fail")</f>
        <v>Pass</v>
      </c>
    </row>
    <row r="145" spans="1:11" x14ac:dyDescent="0.3">
      <c r="A145" t="s">
        <v>248</v>
      </c>
      <c r="B145" t="s">
        <v>226</v>
      </c>
      <c r="C145" t="s">
        <v>25</v>
      </c>
      <c r="D145">
        <v>6</v>
      </c>
      <c r="E145" t="s">
        <v>17</v>
      </c>
      <c r="F145" t="s">
        <v>43</v>
      </c>
      <c r="G145">
        <v>80</v>
      </c>
      <c r="H145">
        <v>94</v>
      </c>
      <c r="I145" t="s">
        <v>19</v>
      </c>
      <c r="J145" t="str">
        <f>IF(Student_Data[[#This Row],[Marks]] &gt;= 90,"A+",IF(Student_Data[[#This Row],[Marks]]&gt;=80,"A",IF(Student_Data[[#This Row],[Marks]]&gt;=70,"B",IF(Student_Data[[#This Row],[Marks]]&gt;=60,"C","F"))))</f>
        <v>A</v>
      </c>
      <c r="K145" t="str">
        <f>IF(Student_Data[[#This Row],[Marks]]&gt;=35,"Pass","Fail")</f>
        <v>Pass</v>
      </c>
    </row>
    <row r="146" spans="1:11" x14ac:dyDescent="0.3">
      <c r="A146" t="s">
        <v>249</v>
      </c>
      <c r="B146" t="s">
        <v>182</v>
      </c>
      <c r="C146" t="s">
        <v>11</v>
      </c>
      <c r="D146">
        <v>11</v>
      </c>
      <c r="E146" t="s">
        <v>33</v>
      </c>
      <c r="F146" t="s">
        <v>22</v>
      </c>
      <c r="G146">
        <v>55</v>
      </c>
      <c r="H146">
        <v>88</v>
      </c>
      <c r="I146" t="s">
        <v>40</v>
      </c>
      <c r="J146" t="str">
        <f>IF(Student_Data[[#This Row],[Marks]] &gt;= 90,"A+",IF(Student_Data[[#This Row],[Marks]]&gt;=80,"A",IF(Student_Data[[#This Row],[Marks]]&gt;=70,"B",IF(Student_Data[[#This Row],[Marks]]&gt;=60,"C","F"))))</f>
        <v>F</v>
      </c>
      <c r="K146" t="str">
        <f>IF(Student_Data[[#This Row],[Marks]]&gt;=35,"Pass","Fail")</f>
        <v>Pass</v>
      </c>
    </row>
    <row r="147" spans="1:11" x14ac:dyDescent="0.3">
      <c r="A147" t="s">
        <v>250</v>
      </c>
      <c r="B147" t="s">
        <v>102</v>
      </c>
      <c r="C147" t="s">
        <v>25</v>
      </c>
      <c r="D147">
        <v>6</v>
      </c>
      <c r="E147" t="s">
        <v>17</v>
      </c>
      <c r="F147" t="s">
        <v>26</v>
      </c>
      <c r="G147">
        <v>81</v>
      </c>
      <c r="H147">
        <v>92</v>
      </c>
      <c r="I147" t="s">
        <v>35</v>
      </c>
      <c r="J147" t="str">
        <f>IF(Student_Data[[#This Row],[Marks]] &gt;= 90,"A+",IF(Student_Data[[#This Row],[Marks]]&gt;=80,"A",IF(Student_Data[[#This Row],[Marks]]&gt;=70,"B",IF(Student_Data[[#This Row],[Marks]]&gt;=60,"C","F"))))</f>
        <v>A</v>
      </c>
      <c r="K147" t="str">
        <f>IF(Student_Data[[#This Row],[Marks]]&gt;=35,"Pass","Fail")</f>
        <v>Pass</v>
      </c>
    </row>
    <row r="148" spans="1:11" x14ac:dyDescent="0.3">
      <c r="A148" t="s">
        <v>251</v>
      </c>
      <c r="B148" t="s">
        <v>252</v>
      </c>
      <c r="C148" t="s">
        <v>25</v>
      </c>
      <c r="D148">
        <v>10</v>
      </c>
      <c r="E148" t="s">
        <v>33</v>
      </c>
      <c r="F148" t="s">
        <v>26</v>
      </c>
      <c r="G148">
        <v>39</v>
      </c>
      <c r="H148">
        <v>92</v>
      </c>
      <c r="I148" t="s">
        <v>49</v>
      </c>
      <c r="J148" t="str">
        <f>IF(Student_Data[[#This Row],[Marks]] &gt;= 90,"A+",IF(Student_Data[[#This Row],[Marks]]&gt;=80,"A",IF(Student_Data[[#This Row],[Marks]]&gt;=70,"B",IF(Student_Data[[#This Row],[Marks]]&gt;=60,"C","F"))))</f>
        <v>F</v>
      </c>
      <c r="K148" t="str">
        <f>IF(Student_Data[[#This Row],[Marks]]&gt;=35,"Pass","Fail")</f>
        <v>Pass</v>
      </c>
    </row>
    <row r="149" spans="1:11" x14ac:dyDescent="0.3">
      <c r="A149" t="s">
        <v>253</v>
      </c>
      <c r="B149" t="s">
        <v>254</v>
      </c>
      <c r="C149" t="s">
        <v>11</v>
      </c>
      <c r="D149">
        <v>9</v>
      </c>
      <c r="E149" t="s">
        <v>12</v>
      </c>
      <c r="F149" t="s">
        <v>18</v>
      </c>
      <c r="G149">
        <v>42</v>
      </c>
      <c r="H149">
        <v>88</v>
      </c>
      <c r="I149" t="s">
        <v>40</v>
      </c>
      <c r="J149" t="str">
        <f>IF(Student_Data[[#This Row],[Marks]] &gt;= 90,"A+",IF(Student_Data[[#This Row],[Marks]]&gt;=80,"A",IF(Student_Data[[#This Row],[Marks]]&gt;=70,"B",IF(Student_Data[[#This Row],[Marks]]&gt;=60,"C","F"))))</f>
        <v>F</v>
      </c>
      <c r="K149" t="str">
        <f>IF(Student_Data[[#This Row],[Marks]]&gt;=35,"Pass","Fail")</f>
        <v>Pass</v>
      </c>
    </row>
    <row r="150" spans="1:11" x14ac:dyDescent="0.3">
      <c r="A150" t="s">
        <v>255</v>
      </c>
      <c r="B150" t="s">
        <v>179</v>
      </c>
      <c r="C150" t="s">
        <v>11</v>
      </c>
      <c r="D150">
        <v>11</v>
      </c>
      <c r="E150" t="s">
        <v>12</v>
      </c>
      <c r="F150" t="s">
        <v>13</v>
      </c>
      <c r="G150">
        <v>68</v>
      </c>
      <c r="H150">
        <v>75</v>
      </c>
      <c r="I150" t="s">
        <v>31</v>
      </c>
      <c r="J150" t="str">
        <f>IF(Student_Data[[#This Row],[Marks]] &gt;= 90,"A+",IF(Student_Data[[#This Row],[Marks]]&gt;=80,"A",IF(Student_Data[[#This Row],[Marks]]&gt;=70,"B",IF(Student_Data[[#This Row],[Marks]]&gt;=60,"C","F"))))</f>
        <v>C</v>
      </c>
      <c r="K150" t="str">
        <f>IF(Student_Data[[#This Row],[Marks]]&gt;=35,"Pass","Fail")</f>
        <v>Pass</v>
      </c>
    </row>
    <row r="151" spans="1:11" x14ac:dyDescent="0.3">
      <c r="A151" t="s">
        <v>256</v>
      </c>
      <c r="B151" t="s">
        <v>39</v>
      </c>
      <c r="C151" t="s">
        <v>11</v>
      </c>
      <c r="D151">
        <v>7</v>
      </c>
      <c r="E151" t="s">
        <v>17</v>
      </c>
      <c r="F151" t="s">
        <v>18</v>
      </c>
      <c r="G151">
        <v>93</v>
      </c>
      <c r="H151">
        <v>98</v>
      </c>
      <c r="I151" t="s">
        <v>49</v>
      </c>
      <c r="J151" t="str">
        <f>IF(Student_Data[[#This Row],[Marks]] &gt;= 90,"A+",IF(Student_Data[[#This Row],[Marks]]&gt;=80,"A",IF(Student_Data[[#This Row],[Marks]]&gt;=70,"B",IF(Student_Data[[#This Row],[Marks]]&gt;=60,"C","F"))))</f>
        <v>A+</v>
      </c>
      <c r="K151" t="str">
        <f>IF(Student_Data[[#This Row],[Marks]]&gt;=35,"Pass","Fail")</f>
        <v>Pass</v>
      </c>
    </row>
    <row r="152" spans="1:11" x14ac:dyDescent="0.3">
      <c r="A152" t="s">
        <v>257</v>
      </c>
      <c r="B152" t="s">
        <v>132</v>
      </c>
      <c r="C152" t="s">
        <v>11</v>
      </c>
      <c r="D152">
        <v>7</v>
      </c>
      <c r="E152" t="s">
        <v>33</v>
      </c>
      <c r="F152" t="s">
        <v>34</v>
      </c>
      <c r="G152">
        <v>40</v>
      </c>
      <c r="H152">
        <v>90</v>
      </c>
      <c r="I152" t="s">
        <v>35</v>
      </c>
      <c r="J152" t="str">
        <f>IF(Student_Data[[#This Row],[Marks]] &gt;= 90,"A+",IF(Student_Data[[#This Row],[Marks]]&gt;=80,"A",IF(Student_Data[[#This Row],[Marks]]&gt;=70,"B",IF(Student_Data[[#This Row],[Marks]]&gt;=60,"C","F"))))</f>
        <v>F</v>
      </c>
      <c r="K152" t="str">
        <f>IF(Student_Data[[#This Row],[Marks]]&gt;=35,"Pass","Fail")</f>
        <v>Pass</v>
      </c>
    </row>
    <row r="153" spans="1:11" x14ac:dyDescent="0.3">
      <c r="A153" t="s">
        <v>258</v>
      </c>
      <c r="B153" t="s">
        <v>242</v>
      </c>
      <c r="C153" t="s">
        <v>11</v>
      </c>
      <c r="D153">
        <v>9</v>
      </c>
      <c r="E153" t="s">
        <v>17</v>
      </c>
      <c r="F153" t="s">
        <v>26</v>
      </c>
      <c r="G153">
        <v>95</v>
      </c>
      <c r="H153">
        <v>97</v>
      </c>
      <c r="I153" t="s">
        <v>19</v>
      </c>
      <c r="J153" t="str">
        <f>IF(Student_Data[[#This Row],[Marks]] &gt;= 90,"A+",IF(Student_Data[[#This Row],[Marks]]&gt;=80,"A",IF(Student_Data[[#This Row],[Marks]]&gt;=70,"B",IF(Student_Data[[#This Row],[Marks]]&gt;=60,"C","F"))))</f>
        <v>A+</v>
      </c>
      <c r="K153" t="str">
        <f>IF(Student_Data[[#This Row],[Marks]]&gt;=35,"Pass","Fail")</f>
        <v>Pass</v>
      </c>
    </row>
    <row r="154" spans="1:11" x14ac:dyDescent="0.3">
      <c r="A154" t="s">
        <v>259</v>
      </c>
      <c r="B154" t="s">
        <v>72</v>
      </c>
      <c r="C154" t="s">
        <v>25</v>
      </c>
      <c r="D154">
        <v>7</v>
      </c>
      <c r="E154" t="s">
        <v>12</v>
      </c>
      <c r="F154" t="s">
        <v>26</v>
      </c>
      <c r="G154">
        <v>49</v>
      </c>
      <c r="H154">
        <v>77</v>
      </c>
      <c r="I154" t="s">
        <v>19</v>
      </c>
      <c r="J154" t="str">
        <f>IF(Student_Data[[#This Row],[Marks]] &gt;= 90,"A+",IF(Student_Data[[#This Row],[Marks]]&gt;=80,"A",IF(Student_Data[[#This Row],[Marks]]&gt;=70,"B",IF(Student_Data[[#This Row],[Marks]]&gt;=60,"C","F"))))</f>
        <v>F</v>
      </c>
      <c r="K154" t="str">
        <f>IF(Student_Data[[#This Row],[Marks]]&gt;=35,"Pass","Fail")</f>
        <v>Pass</v>
      </c>
    </row>
    <row r="155" spans="1:11" x14ac:dyDescent="0.3">
      <c r="A155" t="s">
        <v>260</v>
      </c>
      <c r="B155" t="s">
        <v>16</v>
      </c>
      <c r="C155" t="s">
        <v>25</v>
      </c>
      <c r="D155">
        <v>8</v>
      </c>
      <c r="E155" t="s">
        <v>33</v>
      </c>
      <c r="F155" t="s">
        <v>43</v>
      </c>
      <c r="G155">
        <v>52</v>
      </c>
      <c r="H155">
        <v>67</v>
      </c>
      <c r="I155" t="s">
        <v>14</v>
      </c>
      <c r="J155" t="str">
        <f>IF(Student_Data[[#This Row],[Marks]] &gt;= 90,"A+",IF(Student_Data[[#This Row],[Marks]]&gt;=80,"A",IF(Student_Data[[#This Row],[Marks]]&gt;=70,"B",IF(Student_Data[[#This Row],[Marks]]&gt;=60,"C","F"))))</f>
        <v>F</v>
      </c>
      <c r="K155" t="str">
        <f>IF(Student_Data[[#This Row],[Marks]]&gt;=35,"Pass","Fail")</f>
        <v>Pass</v>
      </c>
    </row>
    <row r="156" spans="1:11" x14ac:dyDescent="0.3">
      <c r="A156" t="s">
        <v>261</v>
      </c>
      <c r="B156" t="s">
        <v>112</v>
      </c>
      <c r="C156" t="s">
        <v>11</v>
      </c>
      <c r="D156">
        <v>7</v>
      </c>
      <c r="E156" t="s">
        <v>17</v>
      </c>
      <c r="F156" t="s">
        <v>13</v>
      </c>
      <c r="G156">
        <v>57</v>
      </c>
      <c r="H156">
        <v>89</v>
      </c>
      <c r="I156" t="s">
        <v>35</v>
      </c>
      <c r="J156" t="str">
        <f>IF(Student_Data[[#This Row],[Marks]] &gt;= 90,"A+",IF(Student_Data[[#This Row],[Marks]]&gt;=80,"A",IF(Student_Data[[#This Row],[Marks]]&gt;=70,"B",IF(Student_Data[[#This Row],[Marks]]&gt;=60,"C","F"))))</f>
        <v>F</v>
      </c>
      <c r="K156" t="str">
        <f>IF(Student_Data[[#This Row],[Marks]]&gt;=35,"Pass","Fail")</f>
        <v>Pass</v>
      </c>
    </row>
    <row r="157" spans="1:11" x14ac:dyDescent="0.3">
      <c r="A157" t="s">
        <v>262</v>
      </c>
      <c r="B157" t="s">
        <v>204</v>
      </c>
      <c r="C157" t="s">
        <v>11</v>
      </c>
      <c r="D157">
        <v>10</v>
      </c>
      <c r="E157" t="s">
        <v>17</v>
      </c>
      <c r="F157" t="s">
        <v>22</v>
      </c>
      <c r="G157">
        <v>68</v>
      </c>
      <c r="H157">
        <v>87</v>
      </c>
      <c r="I157" t="s">
        <v>14</v>
      </c>
      <c r="J157" t="str">
        <f>IF(Student_Data[[#This Row],[Marks]] &gt;= 90,"A+",IF(Student_Data[[#This Row],[Marks]]&gt;=80,"A",IF(Student_Data[[#This Row],[Marks]]&gt;=70,"B",IF(Student_Data[[#This Row],[Marks]]&gt;=60,"C","F"))))</f>
        <v>C</v>
      </c>
      <c r="K157" t="str">
        <f>IF(Student_Data[[#This Row],[Marks]]&gt;=35,"Pass","Fail")</f>
        <v>Pass</v>
      </c>
    </row>
    <row r="158" spans="1:11" x14ac:dyDescent="0.3">
      <c r="A158" t="s">
        <v>263</v>
      </c>
      <c r="B158" t="s">
        <v>264</v>
      </c>
      <c r="C158" t="s">
        <v>25</v>
      </c>
      <c r="D158">
        <v>7</v>
      </c>
      <c r="E158" t="s">
        <v>17</v>
      </c>
      <c r="F158" t="s">
        <v>26</v>
      </c>
      <c r="G158">
        <v>50</v>
      </c>
      <c r="H158">
        <v>68</v>
      </c>
      <c r="I158" t="s">
        <v>40</v>
      </c>
      <c r="J158" t="str">
        <f>IF(Student_Data[[#This Row],[Marks]] &gt;= 90,"A+",IF(Student_Data[[#This Row],[Marks]]&gt;=80,"A",IF(Student_Data[[#This Row],[Marks]]&gt;=70,"B",IF(Student_Data[[#This Row],[Marks]]&gt;=60,"C","F"))))</f>
        <v>F</v>
      </c>
      <c r="K158" t="str">
        <f>IF(Student_Data[[#This Row],[Marks]]&gt;=35,"Pass","Fail")</f>
        <v>Pass</v>
      </c>
    </row>
    <row r="159" spans="1:11" x14ac:dyDescent="0.3">
      <c r="A159" t="s">
        <v>265</v>
      </c>
      <c r="B159" t="s">
        <v>214</v>
      </c>
      <c r="C159" t="s">
        <v>11</v>
      </c>
      <c r="D159">
        <v>7</v>
      </c>
      <c r="E159" t="s">
        <v>33</v>
      </c>
      <c r="F159" t="s">
        <v>22</v>
      </c>
      <c r="G159">
        <v>58</v>
      </c>
      <c r="H159">
        <v>76</v>
      </c>
      <c r="I159" t="s">
        <v>46</v>
      </c>
      <c r="J159" t="str">
        <f>IF(Student_Data[[#This Row],[Marks]] &gt;= 90,"A+",IF(Student_Data[[#This Row],[Marks]]&gt;=80,"A",IF(Student_Data[[#This Row],[Marks]]&gt;=70,"B",IF(Student_Data[[#This Row],[Marks]]&gt;=60,"C","F"))))</f>
        <v>F</v>
      </c>
      <c r="K159" t="str">
        <f>IF(Student_Data[[#This Row],[Marks]]&gt;=35,"Pass","Fail")</f>
        <v>Pass</v>
      </c>
    </row>
    <row r="160" spans="1:11" x14ac:dyDescent="0.3">
      <c r="A160" t="s">
        <v>266</v>
      </c>
      <c r="B160" t="s">
        <v>68</v>
      </c>
      <c r="C160" t="s">
        <v>11</v>
      </c>
      <c r="D160">
        <v>10</v>
      </c>
      <c r="E160" t="s">
        <v>17</v>
      </c>
      <c r="F160" t="s">
        <v>18</v>
      </c>
      <c r="G160">
        <v>38</v>
      </c>
      <c r="H160">
        <v>67</v>
      </c>
      <c r="I160" t="s">
        <v>14</v>
      </c>
      <c r="J160" t="str">
        <f>IF(Student_Data[[#This Row],[Marks]] &gt;= 90,"A+",IF(Student_Data[[#This Row],[Marks]]&gt;=80,"A",IF(Student_Data[[#This Row],[Marks]]&gt;=70,"B",IF(Student_Data[[#This Row],[Marks]]&gt;=60,"C","F"))))</f>
        <v>F</v>
      </c>
      <c r="K160" t="str">
        <f>IF(Student_Data[[#This Row],[Marks]]&gt;=35,"Pass","Fail")</f>
        <v>Pass</v>
      </c>
    </row>
    <row r="161" spans="1:11" x14ac:dyDescent="0.3">
      <c r="A161" t="s">
        <v>267</v>
      </c>
      <c r="B161" t="s">
        <v>268</v>
      </c>
      <c r="C161" t="s">
        <v>25</v>
      </c>
      <c r="D161">
        <v>8</v>
      </c>
      <c r="E161" t="s">
        <v>12</v>
      </c>
      <c r="F161" t="s">
        <v>43</v>
      </c>
      <c r="G161">
        <v>88</v>
      </c>
      <c r="H161">
        <v>63</v>
      </c>
      <c r="I161" t="s">
        <v>19</v>
      </c>
      <c r="J161" t="str">
        <f>IF(Student_Data[[#This Row],[Marks]] &gt;= 90,"A+",IF(Student_Data[[#This Row],[Marks]]&gt;=80,"A",IF(Student_Data[[#This Row],[Marks]]&gt;=70,"B",IF(Student_Data[[#This Row],[Marks]]&gt;=60,"C","F"))))</f>
        <v>A</v>
      </c>
      <c r="K161" t="str">
        <f>IF(Student_Data[[#This Row],[Marks]]&gt;=35,"Pass","Fail")</f>
        <v>Pass</v>
      </c>
    </row>
    <row r="162" spans="1:11" x14ac:dyDescent="0.3">
      <c r="A162" t="s">
        <v>269</v>
      </c>
      <c r="B162" t="s">
        <v>195</v>
      </c>
      <c r="C162" t="s">
        <v>25</v>
      </c>
      <c r="D162">
        <v>6</v>
      </c>
      <c r="E162" t="s">
        <v>17</v>
      </c>
      <c r="F162" t="s">
        <v>18</v>
      </c>
      <c r="G162">
        <v>97</v>
      </c>
      <c r="H162">
        <v>75</v>
      </c>
      <c r="I162" t="s">
        <v>49</v>
      </c>
      <c r="J162" t="str">
        <f>IF(Student_Data[[#This Row],[Marks]] &gt;= 90,"A+",IF(Student_Data[[#This Row],[Marks]]&gt;=80,"A",IF(Student_Data[[#This Row],[Marks]]&gt;=70,"B",IF(Student_Data[[#This Row],[Marks]]&gt;=60,"C","F"))))</f>
        <v>A+</v>
      </c>
      <c r="K162" t="str">
        <f>IF(Student_Data[[#This Row],[Marks]]&gt;=35,"Pass","Fail")</f>
        <v>Pass</v>
      </c>
    </row>
    <row r="163" spans="1:11" x14ac:dyDescent="0.3">
      <c r="A163" t="s">
        <v>270</v>
      </c>
      <c r="B163" t="s">
        <v>75</v>
      </c>
      <c r="C163" t="s">
        <v>11</v>
      </c>
      <c r="D163">
        <v>11</v>
      </c>
      <c r="E163" t="s">
        <v>33</v>
      </c>
      <c r="F163" t="s">
        <v>22</v>
      </c>
      <c r="G163">
        <v>61</v>
      </c>
      <c r="H163">
        <v>69</v>
      </c>
      <c r="I163" t="s">
        <v>40</v>
      </c>
      <c r="J163" t="str">
        <f>IF(Student_Data[[#This Row],[Marks]] &gt;= 90,"A+",IF(Student_Data[[#This Row],[Marks]]&gt;=80,"A",IF(Student_Data[[#This Row],[Marks]]&gt;=70,"B",IF(Student_Data[[#This Row],[Marks]]&gt;=60,"C","F"))))</f>
        <v>C</v>
      </c>
      <c r="K163" t="str">
        <f>IF(Student_Data[[#This Row],[Marks]]&gt;=35,"Pass","Fail")</f>
        <v>Pass</v>
      </c>
    </row>
    <row r="164" spans="1:11" x14ac:dyDescent="0.3">
      <c r="A164" t="s">
        <v>271</v>
      </c>
      <c r="B164" t="s">
        <v>24</v>
      </c>
      <c r="C164" t="s">
        <v>11</v>
      </c>
      <c r="D164">
        <v>8</v>
      </c>
      <c r="E164" t="s">
        <v>12</v>
      </c>
      <c r="F164" t="s">
        <v>43</v>
      </c>
      <c r="G164">
        <v>36</v>
      </c>
      <c r="H164">
        <v>70</v>
      </c>
      <c r="I164" t="s">
        <v>46</v>
      </c>
      <c r="J164" t="str">
        <f>IF(Student_Data[[#This Row],[Marks]] &gt;= 90,"A+",IF(Student_Data[[#This Row],[Marks]]&gt;=80,"A",IF(Student_Data[[#This Row],[Marks]]&gt;=70,"B",IF(Student_Data[[#This Row],[Marks]]&gt;=60,"C","F"))))</f>
        <v>F</v>
      </c>
      <c r="K164" t="str">
        <f>IF(Student_Data[[#This Row],[Marks]]&gt;=35,"Pass","Fail")</f>
        <v>Pass</v>
      </c>
    </row>
    <row r="165" spans="1:11" x14ac:dyDescent="0.3">
      <c r="A165" t="s">
        <v>272</v>
      </c>
      <c r="B165" t="s">
        <v>100</v>
      </c>
      <c r="C165" t="s">
        <v>11</v>
      </c>
      <c r="D165">
        <v>9</v>
      </c>
      <c r="E165" t="s">
        <v>17</v>
      </c>
      <c r="F165" t="s">
        <v>18</v>
      </c>
      <c r="G165">
        <v>36</v>
      </c>
      <c r="H165">
        <v>73</v>
      </c>
      <c r="I165" t="s">
        <v>19</v>
      </c>
      <c r="J165" t="str">
        <f>IF(Student_Data[[#This Row],[Marks]] &gt;= 90,"A+",IF(Student_Data[[#This Row],[Marks]]&gt;=80,"A",IF(Student_Data[[#This Row],[Marks]]&gt;=70,"B",IF(Student_Data[[#This Row],[Marks]]&gt;=60,"C","F"))))</f>
        <v>F</v>
      </c>
      <c r="K165" t="str">
        <f>IF(Student_Data[[#This Row],[Marks]]&gt;=35,"Pass","Fail")</f>
        <v>Pass</v>
      </c>
    </row>
    <row r="166" spans="1:11" x14ac:dyDescent="0.3">
      <c r="A166" t="s">
        <v>273</v>
      </c>
      <c r="B166" t="s">
        <v>42</v>
      </c>
      <c r="C166" t="s">
        <v>25</v>
      </c>
      <c r="D166">
        <v>10</v>
      </c>
      <c r="E166" t="s">
        <v>33</v>
      </c>
      <c r="F166" t="s">
        <v>43</v>
      </c>
      <c r="G166">
        <v>94</v>
      </c>
      <c r="H166">
        <v>61</v>
      </c>
      <c r="I166" t="s">
        <v>35</v>
      </c>
      <c r="J166" t="str">
        <f>IF(Student_Data[[#This Row],[Marks]] &gt;= 90,"A+",IF(Student_Data[[#This Row],[Marks]]&gt;=80,"A",IF(Student_Data[[#This Row],[Marks]]&gt;=70,"B",IF(Student_Data[[#This Row],[Marks]]&gt;=60,"C","F"))))</f>
        <v>A+</v>
      </c>
      <c r="K166" t="str">
        <f>IF(Student_Data[[#This Row],[Marks]]&gt;=35,"Pass","Fail")</f>
        <v>Pass</v>
      </c>
    </row>
    <row r="167" spans="1:11" x14ac:dyDescent="0.3">
      <c r="A167" t="s">
        <v>274</v>
      </c>
      <c r="B167" t="s">
        <v>96</v>
      </c>
      <c r="C167" t="s">
        <v>25</v>
      </c>
      <c r="D167">
        <v>12</v>
      </c>
      <c r="E167" t="s">
        <v>17</v>
      </c>
      <c r="F167" t="s">
        <v>18</v>
      </c>
      <c r="G167">
        <v>39</v>
      </c>
      <c r="H167">
        <v>77</v>
      </c>
      <c r="I167" t="s">
        <v>14</v>
      </c>
      <c r="J167" t="str">
        <f>IF(Student_Data[[#This Row],[Marks]] &gt;= 90,"A+",IF(Student_Data[[#This Row],[Marks]]&gt;=80,"A",IF(Student_Data[[#This Row],[Marks]]&gt;=70,"B",IF(Student_Data[[#This Row],[Marks]]&gt;=60,"C","F"))))</f>
        <v>F</v>
      </c>
      <c r="K167" t="str">
        <f>IF(Student_Data[[#This Row],[Marks]]&gt;=35,"Pass","Fail")</f>
        <v>Pass</v>
      </c>
    </row>
    <row r="168" spans="1:11" x14ac:dyDescent="0.3">
      <c r="A168" t="s">
        <v>275</v>
      </c>
      <c r="B168" t="s">
        <v>30</v>
      </c>
      <c r="C168" t="s">
        <v>11</v>
      </c>
      <c r="D168">
        <v>11</v>
      </c>
      <c r="E168" t="s">
        <v>12</v>
      </c>
      <c r="F168" t="s">
        <v>26</v>
      </c>
      <c r="G168">
        <v>92</v>
      </c>
      <c r="H168">
        <v>72</v>
      </c>
      <c r="I168" t="s">
        <v>40</v>
      </c>
      <c r="J168" t="str">
        <f>IF(Student_Data[[#This Row],[Marks]] &gt;= 90,"A+",IF(Student_Data[[#This Row],[Marks]]&gt;=80,"A",IF(Student_Data[[#This Row],[Marks]]&gt;=70,"B",IF(Student_Data[[#This Row],[Marks]]&gt;=60,"C","F"))))</f>
        <v>A+</v>
      </c>
      <c r="K168" t="str">
        <f>IF(Student_Data[[#This Row],[Marks]]&gt;=35,"Pass","Fail")</f>
        <v>Pass</v>
      </c>
    </row>
    <row r="169" spans="1:11" x14ac:dyDescent="0.3">
      <c r="A169" t="s">
        <v>276</v>
      </c>
      <c r="B169" t="s">
        <v>230</v>
      </c>
      <c r="C169" t="s">
        <v>25</v>
      </c>
      <c r="D169">
        <v>9</v>
      </c>
      <c r="E169" t="s">
        <v>17</v>
      </c>
      <c r="F169" t="s">
        <v>22</v>
      </c>
      <c r="G169">
        <v>69</v>
      </c>
      <c r="H169">
        <v>79</v>
      </c>
      <c r="I169" t="s">
        <v>35</v>
      </c>
      <c r="J169" t="str">
        <f>IF(Student_Data[[#This Row],[Marks]] &gt;= 90,"A+",IF(Student_Data[[#This Row],[Marks]]&gt;=80,"A",IF(Student_Data[[#This Row],[Marks]]&gt;=70,"B",IF(Student_Data[[#This Row],[Marks]]&gt;=60,"C","F"))))</f>
        <v>C</v>
      </c>
      <c r="K169" t="str">
        <f>IF(Student_Data[[#This Row],[Marks]]&gt;=35,"Pass","Fail")</f>
        <v>Pass</v>
      </c>
    </row>
    <row r="170" spans="1:11" x14ac:dyDescent="0.3">
      <c r="A170" t="s">
        <v>277</v>
      </c>
      <c r="B170" t="s">
        <v>21</v>
      </c>
      <c r="C170" t="s">
        <v>11</v>
      </c>
      <c r="D170">
        <v>7</v>
      </c>
      <c r="E170" t="s">
        <v>12</v>
      </c>
      <c r="F170" t="s">
        <v>18</v>
      </c>
      <c r="G170">
        <v>57</v>
      </c>
      <c r="H170">
        <v>66</v>
      </c>
      <c r="I170" t="s">
        <v>40</v>
      </c>
      <c r="J170" t="str">
        <f>IF(Student_Data[[#This Row],[Marks]] &gt;= 90,"A+",IF(Student_Data[[#This Row],[Marks]]&gt;=80,"A",IF(Student_Data[[#This Row],[Marks]]&gt;=70,"B",IF(Student_Data[[#This Row],[Marks]]&gt;=60,"C","F"))))</f>
        <v>F</v>
      </c>
      <c r="K170" t="str">
        <f>IF(Student_Data[[#This Row],[Marks]]&gt;=35,"Pass","Fail")</f>
        <v>Pass</v>
      </c>
    </row>
    <row r="171" spans="1:11" x14ac:dyDescent="0.3">
      <c r="A171" t="s">
        <v>278</v>
      </c>
      <c r="B171" t="s">
        <v>66</v>
      </c>
      <c r="C171" t="s">
        <v>25</v>
      </c>
      <c r="D171">
        <v>9</v>
      </c>
      <c r="E171" t="s">
        <v>33</v>
      </c>
      <c r="F171" t="s">
        <v>18</v>
      </c>
      <c r="G171">
        <v>51</v>
      </c>
      <c r="H171">
        <v>79</v>
      </c>
      <c r="I171" t="s">
        <v>40</v>
      </c>
      <c r="J171" t="str">
        <f>IF(Student_Data[[#This Row],[Marks]] &gt;= 90,"A+",IF(Student_Data[[#This Row],[Marks]]&gt;=80,"A",IF(Student_Data[[#This Row],[Marks]]&gt;=70,"B",IF(Student_Data[[#This Row],[Marks]]&gt;=60,"C","F"))))</f>
        <v>F</v>
      </c>
      <c r="K171" t="str">
        <f>IF(Student_Data[[#This Row],[Marks]]&gt;=35,"Pass","Fail")</f>
        <v>Pass</v>
      </c>
    </row>
    <row r="172" spans="1:11" x14ac:dyDescent="0.3">
      <c r="A172" t="s">
        <v>279</v>
      </c>
      <c r="B172" t="s">
        <v>94</v>
      </c>
      <c r="C172" t="s">
        <v>25</v>
      </c>
      <c r="D172">
        <v>7</v>
      </c>
      <c r="E172" t="s">
        <v>12</v>
      </c>
      <c r="F172" t="s">
        <v>13</v>
      </c>
      <c r="G172">
        <v>48</v>
      </c>
      <c r="H172">
        <v>84</v>
      </c>
      <c r="I172" t="s">
        <v>31</v>
      </c>
      <c r="J172" t="str">
        <f>IF(Student_Data[[#This Row],[Marks]] &gt;= 90,"A+",IF(Student_Data[[#This Row],[Marks]]&gt;=80,"A",IF(Student_Data[[#This Row],[Marks]]&gt;=70,"B",IF(Student_Data[[#This Row],[Marks]]&gt;=60,"C","F"))))</f>
        <v>F</v>
      </c>
      <c r="K172" t="str">
        <f>IF(Student_Data[[#This Row],[Marks]]&gt;=35,"Pass","Fail")</f>
        <v>Pass</v>
      </c>
    </row>
    <row r="173" spans="1:11" x14ac:dyDescent="0.3">
      <c r="A173" t="s">
        <v>280</v>
      </c>
      <c r="B173" t="s">
        <v>51</v>
      </c>
      <c r="C173" t="s">
        <v>11</v>
      </c>
      <c r="D173">
        <v>6</v>
      </c>
      <c r="E173" t="s">
        <v>17</v>
      </c>
      <c r="F173" t="s">
        <v>43</v>
      </c>
      <c r="G173">
        <v>39</v>
      </c>
      <c r="H173">
        <v>86</v>
      </c>
      <c r="I173" t="s">
        <v>35</v>
      </c>
      <c r="J173" t="str">
        <f>IF(Student_Data[[#This Row],[Marks]] &gt;= 90,"A+",IF(Student_Data[[#This Row],[Marks]]&gt;=80,"A",IF(Student_Data[[#This Row],[Marks]]&gt;=70,"B",IF(Student_Data[[#This Row],[Marks]]&gt;=60,"C","F"))))</f>
        <v>F</v>
      </c>
      <c r="K173" t="str">
        <f>IF(Student_Data[[#This Row],[Marks]]&gt;=35,"Pass","Fail")</f>
        <v>Pass</v>
      </c>
    </row>
    <row r="174" spans="1:11" x14ac:dyDescent="0.3">
      <c r="A174" t="s">
        <v>281</v>
      </c>
      <c r="B174" t="s">
        <v>186</v>
      </c>
      <c r="C174" t="s">
        <v>11</v>
      </c>
      <c r="D174">
        <v>10</v>
      </c>
      <c r="E174" t="s">
        <v>12</v>
      </c>
      <c r="F174" t="s">
        <v>18</v>
      </c>
      <c r="G174">
        <v>67</v>
      </c>
      <c r="H174">
        <v>95</v>
      </c>
      <c r="I174" t="s">
        <v>19</v>
      </c>
      <c r="J174" t="str">
        <f>IF(Student_Data[[#This Row],[Marks]] &gt;= 90,"A+",IF(Student_Data[[#This Row],[Marks]]&gt;=80,"A",IF(Student_Data[[#This Row],[Marks]]&gt;=70,"B",IF(Student_Data[[#This Row],[Marks]]&gt;=60,"C","F"))))</f>
        <v>C</v>
      </c>
      <c r="K174" t="str">
        <f>IF(Student_Data[[#This Row],[Marks]]&gt;=35,"Pass","Fail")</f>
        <v>Pass</v>
      </c>
    </row>
    <row r="175" spans="1:11" x14ac:dyDescent="0.3">
      <c r="A175" t="s">
        <v>282</v>
      </c>
      <c r="B175" t="s">
        <v>143</v>
      </c>
      <c r="C175" t="s">
        <v>11</v>
      </c>
      <c r="D175">
        <v>11</v>
      </c>
      <c r="E175" t="s">
        <v>12</v>
      </c>
      <c r="F175" t="s">
        <v>26</v>
      </c>
      <c r="G175">
        <v>100</v>
      </c>
      <c r="H175">
        <v>77</v>
      </c>
      <c r="I175" t="s">
        <v>49</v>
      </c>
      <c r="J175" t="str">
        <f>IF(Student_Data[[#This Row],[Marks]] &gt;= 90,"A+",IF(Student_Data[[#This Row],[Marks]]&gt;=80,"A",IF(Student_Data[[#This Row],[Marks]]&gt;=70,"B",IF(Student_Data[[#This Row],[Marks]]&gt;=60,"C","F"))))</f>
        <v>A+</v>
      </c>
      <c r="K175" t="str">
        <f>IF(Student_Data[[#This Row],[Marks]]&gt;=35,"Pass","Fail")</f>
        <v>Pass</v>
      </c>
    </row>
    <row r="176" spans="1:11" x14ac:dyDescent="0.3">
      <c r="A176" t="s">
        <v>283</v>
      </c>
      <c r="B176" t="s">
        <v>28</v>
      </c>
      <c r="C176" t="s">
        <v>25</v>
      </c>
      <c r="D176">
        <v>12</v>
      </c>
      <c r="E176" t="s">
        <v>33</v>
      </c>
      <c r="F176" t="s">
        <v>34</v>
      </c>
      <c r="G176">
        <v>49</v>
      </c>
      <c r="H176">
        <v>81</v>
      </c>
      <c r="I176" t="s">
        <v>31</v>
      </c>
      <c r="J176" t="str">
        <f>IF(Student_Data[[#This Row],[Marks]] &gt;= 90,"A+",IF(Student_Data[[#This Row],[Marks]]&gt;=80,"A",IF(Student_Data[[#This Row],[Marks]]&gt;=70,"B",IF(Student_Data[[#This Row],[Marks]]&gt;=60,"C","F"))))</f>
        <v>F</v>
      </c>
      <c r="K176" t="str">
        <f>IF(Student_Data[[#This Row],[Marks]]&gt;=35,"Pass","Fail")</f>
        <v>Pass</v>
      </c>
    </row>
    <row r="177" spans="1:11" x14ac:dyDescent="0.3">
      <c r="A177" t="s">
        <v>284</v>
      </c>
      <c r="B177" t="s">
        <v>285</v>
      </c>
      <c r="C177" t="s">
        <v>25</v>
      </c>
      <c r="D177">
        <v>7</v>
      </c>
      <c r="E177" t="s">
        <v>12</v>
      </c>
      <c r="F177" t="s">
        <v>13</v>
      </c>
      <c r="G177">
        <v>68</v>
      </c>
      <c r="H177">
        <v>81</v>
      </c>
      <c r="I177" t="s">
        <v>14</v>
      </c>
      <c r="J177" t="str">
        <f>IF(Student_Data[[#This Row],[Marks]] &gt;= 90,"A+",IF(Student_Data[[#This Row],[Marks]]&gt;=80,"A",IF(Student_Data[[#This Row],[Marks]]&gt;=70,"B",IF(Student_Data[[#This Row],[Marks]]&gt;=60,"C","F"))))</f>
        <v>C</v>
      </c>
      <c r="K177" t="str">
        <f>IF(Student_Data[[#This Row],[Marks]]&gt;=35,"Pass","Fail")</f>
        <v>Pass</v>
      </c>
    </row>
    <row r="178" spans="1:11" x14ac:dyDescent="0.3">
      <c r="A178" t="s">
        <v>286</v>
      </c>
      <c r="B178" t="s">
        <v>252</v>
      </c>
      <c r="C178" t="s">
        <v>11</v>
      </c>
      <c r="D178">
        <v>10</v>
      </c>
      <c r="E178" t="s">
        <v>33</v>
      </c>
      <c r="F178" t="s">
        <v>34</v>
      </c>
      <c r="G178">
        <v>70</v>
      </c>
      <c r="H178">
        <v>85</v>
      </c>
      <c r="I178" t="s">
        <v>35</v>
      </c>
      <c r="J178" t="str">
        <f>IF(Student_Data[[#This Row],[Marks]] &gt;= 90,"A+",IF(Student_Data[[#This Row],[Marks]]&gt;=80,"A",IF(Student_Data[[#This Row],[Marks]]&gt;=70,"B",IF(Student_Data[[#This Row],[Marks]]&gt;=60,"C","F"))))</f>
        <v>B</v>
      </c>
      <c r="K178" t="str">
        <f>IF(Student_Data[[#This Row],[Marks]]&gt;=35,"Pass","Fail")</f>
        <v>Pass</v>
      </c>
    </row>
    <row r="179" spans="1:11" x14ac:dyDescent="0.3">
      <c r="A179" t="s">
        <v>287</v>
      </c>
      <c r="B179" t="s">
        <v>57</v>
      </c>
      <c r="C179" t="s">
        <v>11</v>
      </c>
      <c r="D179">
        <v>6</v>
      </c>
      <c r="E179" t="s">
        <v>12</v>
      </c>
      <c r="F179" t="s">
        <v>18</v>
      </c>
      <c r="G179">
        <v>54</v>
      </c>
      <c r="H179">
        <v>62</v>
      </c>
      <c r="I179" t="s">
        <v>19</v>
      </c>
      <c r="J179" t="str">
        <f>IF(Student_Data[[#This Row],[Marks]] &gt;= 90,"A+",IF(Student_Data[[#This Row],[Marks]]&gt;=80,"A",IF(Student_Data[[#This Row],[Marks]]&gt;=70,"B",IF(Student_Data[[#This Row],[Marks]]&gt;=60,"C","F"))))</f>
        <v>F</v>
      </c>
      <c r="K179" t="str">
        <f>IF(Student_Data[[#This Row],[Marks]]&gt;=35,"Pass","Fail")</f>
        <v>Pass</v>
      </c>
    </row>
    <row r="180" spans="1:11" x14ac:dyDescent="0.3">
      <c r="A180" t="s">
        <v>288</v>
      </c>
      <c r="B180" t="s">
        <v>239</v>
      </c>
      <c r="C180" t="s">
        <v>25</v>
      </c>
      <c r="D180">
        <v>8</v>
      </c>
      <c r="E180" t="s">
        <v>12</v>
      </c>
      <c r="F180" t="s">
        <v>26</v>
      </c>
      <c r="G180">
        <v>37</v>
      </c>
      <c r="H180">
        <v>82</v>
      </c>
      <c r="I180" t="s">
        <v>35</v>
      </c>
      <c r="J180" t="str">
        <f>IF(Student_Data[[#This Row],[Marks]] &gt;= 90,"A+",IF(Student_Data[[#This Row],[Marks]]&gt;=80,"A",IF(Student_Data[[#This Row],[Marks]]&gt;=70,"B",IF(Student_Data[[#This Row],[Marks]]&gt;=60,"C","F"))))</f>
        <v>F</v>
      </c>
      <c r="K180" t="str">
        <f>IF(Student_Data[[#This Row],[Marks]]&gt;=35,"Pass","Fail")</f>
        <v>Pass</v>
      </c>
    </row>
    <row r="181" spans="1:11" x14ac:dyDescent="0.3">
      <c r="A181" t="s">
        <v>289</v>
      </c>
      <c r="B181" t="s">
        <v>173</v>
      </c>
      <c r="C181" t="s">
        <v>11</v>
      </c>
      <c r="D181">
        <v>6</v>
      </c>
      <c r="E181" t="s">
        <v>12</v>
      </c>
      <c r="F181" t="s">
        <v>26</v>
      </c>
      <c r="G181">
        <v>50</v>
      </c>
      <c r="H181">
        <v>60</v>
      </c>
      <c r="I181" t="s">
        <v>49</v>
      </c>
      <c r="J181" t="str">
        <f>IF(Student_Data[[#This Row],[Marks]] &gt;= 90,"A+",IF(Student_Data[[#This Row],[Marks]]&gt;=80,"A",IF(Student_Data[[#This Row],[Marks]]&gt;=70,"B",IF(Student_Data[[#This Row],[Marks]]&gt;=60,"C","F"))))</f>
        <v>F</v>
      </c>
      <c r="K181" t="str">
        <f>IF(Student_Data[[#This Row],[Marks]]&gt;=35,"Pass","Fail")</f>
        <v>Pass</v>
      </c>
    </row>
    <row r="182" spans="1:11" x14ac:dyDescent="0.3">
      <c r="A182" t="s">
        <v>290</v>
      </c>
      <c r="B182" t="s">
        <v>230</v>
      </c>
      <c r="C182" t="s">
        <v>25</v>
      </c>
      <c r="D182">
        <v>9</v>
      </c>
      <c r="E182" t="s">
        <v>33</v>
      </c>
      <c r="F182" t="s">
        <v>43</v>
      </c>
      <c r="G182">
        <v>70</v>
      </c>
      <c r="H182">
        <v>75</v>
      </c>
      <c r="I182" t="s">
        <v>31</v>
      </c>
      <c r="J182" t="str">
        <f>IF(Student_Data[[#This Row],[Marks]] &gt;= 90,"A+",IF(Student_Data[[#This Row],[Marks]]&gt;=80,"A",IF(Student_Data[[#This Row],[Marks]]&gt;=70,"B",IF(Student_Data[[#This Row],[Marks]]&gt;=60,"C","F"))))</f>
        <v>B</v>
      </c>
      <c r="K182" t="str">
        <f>IF(Student_Data[[#This Row],[Marks]]&gt;=35,"Pass","Fail")</f>
        <v>Pass</v>
      </c>
    </row>
    <row r="183" spans="1:11" x14ac:dyDescent="0.3">
      <c r="A183" t="s">
        <v>291</v>
      </c>
      <c r="B183" t="s">
        <v>247</v>
      </c>
      <c r="C183" t="s">
        <v>25</v>
      </c>
      <c r="D183">
        <v>11</v>
      </c>
      <c r="E183" t="s">
        <v>12</v>
      </c>
      <c r="F183" t="s">
        <v>13</v>
      </c>
      <c r="G183">
        <v>69</v>
      </c>
      <c r="H183">
        <v>97</v>
      </c>
      <c r="I183" t="s">
        <v>31</v>
      </c>
      <c r="J183" t="str">
        <f>IF(Student_Data[[#This Row],[Marks]] &gt;= 90,"A+",IF(Student_Data[[#This Row],[Marks]]&gt;=80,"A",IF(Student_Data[[#This Row],[Marks]]&gt;=70,"B",IF(Student_Data[[#This Row],[Marks]]&gt;=60,"C","F"))))</f>
        <v>C</v>
      </c>
      <c r="K183" t="str">
        <f>IF(Student_Data[[#This Row],[Marks]]&gt;=35,"Pass","Fail")</f>
        <v>Pass</v>
      </c>
    </row>
    <row r="184" spans="1:11" x14ac:dyDescent="0.3">
      <c r="A184" t="s">
        <v>292</v>
      </c>
      <c r="B184" t="s">
        <v>198</v>
      </c>
      <c r="C184" t="s">
        <v>25</v>
      </c>
      <c r="D184">
        <v>12</v>
      </c>
      <c r="E184" t="s">
        <v>17</v>
      </c>
      <c r="F184" t="s">
        <v>43</v>
      </c>
      <c r="G184">
        <v>88</v>
      </c>
      <c r="H184">
        <v>75</v>
      </c>
      <c r="I184" t="s">
        <v>19</v>
      </c>
      <c r="J184" t="str">
        <f>IF(Student_Data[[#This Row],[Marks]] &gt;= 90,"A+",IF(Student_Data[[#This Row],[Marks]]&gt;=80,"A",IF(Student_Data[[#This Row],[Marks]]&gt;=70,"B",IF(Student_Data[[#This Row],[Marks]]&gt;=60,"C","F"))))</f>
        <v>A</v>
      </c>
      <c r="K184" t="str">
        <f>IF(Student_Data[[#This Row],[Marks]]&gt;=35,"Pass","Fail")</f>
        <v>Pass</v>
      </c>
    </row>
    <row r="185" spans="1:11" x14ac:dyDescent="0.3">
      <c r="A185" t="s">
        <v>293</v>
      </c>
      <c r="B185" t="s">
        <v>164</v>
      </c>
      <c r="C185" t="s">
        <v>11</v>
      </c>
      <c r="D185">
        <v>10</v>
      </c>
      <c r="E185" t="s">
        <v>33</v>
      </c>
      <c r="F185" t="s">
        <v>26</v>
      </c>
      <c r="G185">
        <v>81</v>
      </c>
      <c r="H185">
        <v>61</v>
      </c>
      <c r="I185" t="s">
        <v>46</v>
      </c>
      <c r="J185" t="str">
        <f>IF(Student_Data[[#This Row],[Marks]] &gt;= 90,"A+",IF(Student_Data[[#This Row],[Marks]]&gt;=80,"A",IF(Student_Data[[#This Row],[Marks]]&gt;=70,"B",IF(Student_Data[[#This Row],[Marks]]&gt;=60,"C","F"))))</f>
        <v>A</v>
      </c>
      <c r="K185" t="str">
        <f>IF(Student_Data[[#This Row],[Marks]]&gt;=35,"Pass","Fail")</f>
        <v>Pass</v>
      </c>
    </row>
    <row r="186" spans="1:11" x14ac:dyDescent="0.3">
      <c r="A186" t="s">
        <v>294</v>
      </c>
      <c r="B186" t="s">
        <v>151</v>
      </c>
      <c r="C186" t="s">
        <v>11</v>
      </c>
      <c r="D186">
        <v>6</v>
      </c>
      <c r="E186" t="s">
        <v>17</v>
      </c>
      <c r="F186" t="s">
        <v>43</v>
      </c>
      <c r="G186">
        <v>82</v>
      </c>
      <c r="H186">
        <v>94</v>
      </c>
      <c r="I186" t="s">
        <v>19</v>
      </c>
      <c r="J186" t="str">
        <f>IF(Student_Data[[#This Row],[Marks]] &gt;= 90,"A+",IF(Student_Data[[#This Row],[Marks]]&gt;=80,"A",IF(Student_Data[[#This Row],[Marks]]&gt;=70,"B",IF(Student_Data[[#This Row],[Marks]]&gt;=60,"C","F"))))</f>
        <v>A</v>
      </c>
      <c r="K186" t="str">
        <f>IF(Student_Data[[#This Row],[Marks]]&gt;=35,"Pass","Fail")</f>
        <v>Pass</v>
      </c>
    </row>
    <row r="187" spans="1:11" x14ac:dyDescent="0.3">
      <c r="A187" t="s">
        <v>295</v>
      </c>
      <c r="B187" t="s">
        <v>90</v>
      </c>
      <c r="C187" t="s">
        <v>11</v>
      </c>
      <c r="D187">
        <v>11</v>
      </c>
      <c r="E187" t="s">
        <v>33</v>
      </c>
      <c r="F187" t="s">
        <v>18</v>
      </c>
      <c r="G187">
        <v>41</v>
      </c>
      <c r="H187">
        <v>77</v>
      </c>
      <c r="I187" t="s">
        <v>46</v>
      </c>
      <c r="J187" t="str">
        <f>IF(Student_Data[[#This Row],[Marks]] &gt;= 90,"A+",IF(Student_Data[[#This Row],[Marks]]&gt;=80,"A",IF(Student_Data[[#This Row],[Marks]]&gt;=70,"B",IF(Student_Data[[#This Row],[Marks]]&gt;=60,"C","F"))))</f>
        <v>F</v>
      </c>
      <c r="K187" t="str">
        <f>IF(Student_Data[[#This Row],[Marks]]&gt;=35,"Pass","Fail")</f>
        <v>Pass</v>
      </c>
    </row>
    <row r="188" spans="1:11" x14ac:dyDescent="0.3">
      <c r="A188" t="s">
        <v>296</v>
      </c>
      <c r="B188" t="s">
        <v>297</v>
      </c>
      <c r="C188" t="s">
        <v>25</v>
      </c>
      <c r="D188">
        <v>6</v>
      </c>
      <c r="E188" t="s">
        <v>33</v>
      </c>
      <c r="F188" t="s">
        <v>13</v>
      </c>
      <c r="G188">
        <v>35</v>
      </c>
      <c r="H188">
        <v>80</v>
      </c>
      <c r="I188" t="s">
        <v>19</v>
      </c>
      <c r="J188" t="str">
        <f>IF(Student_Data[[#This Row],[Marks]] &gt;= 90,"A+",IF(Student_Data[[#This Row],[Marks]]&gt;=80,"A",IF(Student_Data[[#This Row],[Marks]]&gt;=70,"B",IF(Student_Data[[#This Row],[Marks]]&gt;=60,"C","F"))))</f>
        <v>F</v>
      </c>
      <c r="K188" t="str">
        <f>IF(Student_Data[[#This Row],[Marks]]&gt;=35,"Pass","Fail")</f>
        <v>Pass</v>
      </c>
    </row>
    <row r="189" spans="1:11" x14ac:dyDescent="0.3">
      <c r="A189" t="s">
        <v>298</v>
      </c>
      <c r="B189" t="s">
        <v>182</v>
      </c>
      <c r="C189" t="s">
        <v>25</v>
      </c>
      <c r="D189">
        <v>10</v>
      </c>
      <c r="E189" t="s">
        <v>12</v>
      </c>
      <c r="F189" t="s">
        <v>22</v>
      </c>
      <c r="G189">
        <v>77</v>
      </c>
      <c r="H189">
        <v>88</v>
      </c>
      <c r="I189" t="s">
        <v>49</v>
      </c>
      <c r="J189" t="str">
        <f>IF(Student_Data[[#This Row],[Marks]] &gt;= 90,"A+",IF(Student_Data[[#This Row],[Marks]]&gt;=80,"A",IF(Student_Data[[#This Row],[Marks]]&gt;=70,"B",IF(Student_Data[[#This Row],[Marks]]&gt;=60,"C","F"))))</f>
        <v>B</v>
      </c>
      <c r="K189" t="str">
        <f>IF(Student_Data[[#This Row],[Marks]]&gt;=35,"Pass","Fail")</f>
        <v>Pass</v>
      </c>
    </row>
    <row r="190" spans="1:11" x14ac:dyDescent="0.3">
      <c r="A190" t="s">
        <v>299</v>
      </c>
      <c r="B190" t="s">
        <v>184</v>
      </c>
      <c r="C190" t="s">
        <v>11</v>
      </c>
      <c r="D190">
        <v>9</v>
      </c>
      <c r="E190" t="s">
        <v>33</v>
      </c>
      <c r="F190" t="s">
        <v>26</v>
      </c>
      <c r="G190">
        <v>74</v>
      </c>
      <c r="H190">
        <v>79</v>
      </c>
      <c r="I190" t="s">
        <v>46</v>
      </c>
      <c r="J190" t="str">
        <f>IF(Student_Data[[#This Row],[Marks]] &gt;= 90,"A+",IF(Student_Data[[#This Row],[Marks]]&gt;=80,"A",IF(Student_Data[[#This Row],[Marks]]&gt;=70,"B",IF(Student_Data[[#This Row],[Marks]]&gt;=60,"C","F"))))</f>
        <v>B</v>
      </c>
      <c r="K190" t="str">
        <f>IF(Student_Data[[#This Row],[Marks]]&gt;=35,"Pass","Fail")</f>
        <v>Pass</v>
      </c>
    </row>
    <row r="191" spans="1:11" x14ac:dyDescent="0.3">
      <c r="A191" t="s">
        <v>300</v>
      </c>
      <c r="B191" t="s">
        <v>143</v>
      </c>
      <c r="C191" t="s">
        <v>25</v>
      </c>
      <c r="D191">
        <v>6</v>
      </c>
      <c r="E191" t="s">
        <v>12</v>
      </c>
      <c r="F191" t="s">
        <v>26</v>
      </c>
      <c r="G191">
        <v>91</v>
      </c>
      <c r="H191">
        <v>80</v>
      </c>
      <c r="I191" t="s">
        <v>46</v>
      </c>
      <c r="J191" t="str">
        <f>IF(Student_Data[[#This Row],[Marks]] &gt;= 90,"A+",IF(Student_Data[[#This Row],[Marks]]&gt;=80,"A",IF(Student_Data[[#This Row],[Marks]]&gt;=70,"B",IF(Student_Data[[#This Row],[Marks]]&gt;=60,"C","F"))))</f>
        <v>A+</v>
      </c>
      <c r="K191" t="str">
        <f>IF(Student_Data[[#This Row],[Marks]]&gt;=35,"Pass","Fail")</f>
        <v>Pass</v>
      </c>
    </row>
    <row r="192" spans="1:11" x14ac:dyDescent="0.3">
      <c r="A192" t="s">
        <v>301</v>
      </c>
      <c r="B192" t="s">
        <v>82</v>
      </c>
      <c r="C192" t="s">
        <v>11</v>
      </c>
      <c r="D192">
        <v>12</v>
      </c>
      <c r="E192" t="s">
        <v>17</v>
      </c>
      <c r="F192" t="s">
        <v>43</v>
      </c>
      <c r="G192">
        <v>41</v>
      </c>
      <c r="H192">
        <v>60</v>
      </c>
      <c r="I192" t="s">
        <v>46</v>
      </c>
      <c r="J192" t="str">
        <f>IF(Student_Data[[#This Row],[Marks]] &gt;= 90,"A+",IF(Student_Data[[#This Row],[Marks]]&gt;=80,"A",IF(Student_Data[[#This Row],[Marks]]&gt;=70,"B",IF(Student_Data[[#This Row],[Marks]]&gt;=60,"C","F"))))</f>
        <v>F</v>
      </c>
      <c r="K192" t="str">
        <f>IF(Student_Data[[#This Row],[Marks]]&gt;=35,"Pass","Fail")</f>
        <v>Pass</v>
      </c>
    </row>
    <row r="193" spans="1:11" x14ac:dyDescent="0.3">
      <c r="A193" t="s">
        <v>302</v>
      </c>
      <c r="B193" t="s">
        <v>247</v>
      </c>
      <c r="C193" t="s">
        <v>11</v>
      </c>
      <c r="D193">
        <v>6</v>
      </c>
      <c r="E193" t="s">
        <v>33</v>
      </c>
      <c r="F193" t="s">
        <v>22</v>
      </c>
      <c r="G193">
        <v>48</v>
      </c>
      <c r="H193">
        <v>87</v>
      </c>
      <c r="I193" t="s">
        <v>40</v>
      </c>
      <c r="J193" t="str">
        <f>IF(Student_Data[[#This Row],[Marks]] &gt;= 90,"A+",IF(Student_Data[[#This Row],[Marks]]&gt;=80,"A",IF(Student_Data[[#This Row],[Marks]]&gt;=70,"B",IF(Student_Data[[#This Row],[Marks]]&gt;=60,"C","F"))))</f>
        <v>F</v>
      </c>
      <c r="K193" t="str">
        <f>IF(Student_Data[[#This Row],[Marks]]&gt;=35,"Pass","Fail")</f>
        <v>Pass</v>
      </c>
    </row>
    <row r="194" spans="1:11" x14ac:dyDescent="0.3">
      <c r="A194" t="s">
        <v>303</v>
      </c>
      <c r="B194" t="s">
        <v>141</v>
      </c>
      <c r="C194" t="s">
        <v>11</v>
      </c>
      <c r="D194">
        <v>11</v>
      </c>
      <c r="E194" t="s">
        <v>12</v>
      </c>
      <c r="F194" t="s">
        <v>26</v>
      </c>
      <c r="G194">
        <v>37</v>
      </c>
      <c r="H194">
        <v>60</v>
      </c>
      <c r="I194" t="s">
        <v>46</v>
      </c>
      <c r="J194" t="str">
        <f>IF(Student_Data[[#This Row],[Marks]] &gt;= 90,"A+",IF(Student_Data[[#This Row],[Marks]]&gt;=80,"A",IF(Student_Data[[#This Row],[Marks]]&gt;=70,"B",IF(Student_Data[[#This Row],[Marks]]&gt;=60,"C","F"))))</f>
        <v>F</v>
      </c>
      <c r="K194" t="str">
        <f>IF(Student_Data[[#This Row],[Marks]]&gt;=35,"Pass","Fail")</f>
        <v>Pass</v>
      </c>
    </row>
    <row r="195" spans="1:11" x14ac:dyDescent="0.3">
      <c r="A195" t="s">
        <v>304</v>
      </c>
      <c r="B195" t="s">
        <v>147</v>
      </c>
      <c r="C195" t="s">
        <v>25</v>
      </c>
      <c r="D195">
        <v>11</v>
      </c>
      <c r="E195" t="s">
        <v>12</v>
      </c>
      <c r="F195" t="s">
        <v>26</v>
      </c>
      <c r="G195">
        <v>83</v>
      </c>
      <c r="H195">
        <v>87</v>
      </c>
      <c r="I195" t="s">
        <v>49</v>
      </c>
      <c r="J195" t="str">
        <f>IF(Student_Data[[#This Row],[Marks]] &gt;= 90,"A+",IF(Student_Data[[#This Row],[Marks]]&gt;=80,"A",IF(Student_Data[[#This Row],[Marks]]&gt;=70,"B",IF(Student_Data[[#This Row],[Marks]]&gt;=60,"C","F"))))</f>
        <v>A</v>
      </c>
      <c r="K195" t="str">
        <f>IF(Student_Data[[#This Row],[Marks]]&gt;=35,"Pass","Fail")</f>
        <v>Pass</v>
      </c>
    </row>
    <row r="196" spans="1:11" x14ac:dyDescent="0.3">
      <c r="A196" t="s">
        <v>305</v>
      </c>
      <c r="B196" t="s">
        <v>158</v>
      </c>
      <c r="C196" t="s">
        <v>25</v>
      </c>
      <c r="D196">
        <v>9</v>
      </c>
      <c r="E196" t="s">
        <v>33</v>
      </c>
      <c r="F196" t="s">
        <v>26</v>
      </c>
      <c r="G196">
        <v>48</v>
      </c>
      <c r="H196">
        <v>97</v>
      </c>
      <c r="I196" t="s">
        <v>49</v>
      </c>
      <c r="J196" t="str">
        <f>IF(Student_Data[[#This Row],[Marks]] &gt;= 90,"A+",IF(Student_Data[[#This Row],[Marks]]&gt;=80,"A",IF(Student_Data[[#This Row],[Marks]]&gt;=70,"B",IF(Student_Data[[#This Row],[Marks]]&gt;=60,"C","F"))))</f>
        <v>F</v>
      </c>
      <c r="K196" t="str">
        <f>IF(Student_Data[[#This Row],[Marks]]&gt;=35,"Pass","Fail")</f>
        <v>Pass</v>
      </c>
    </row>
    <row r="197" spans="1:11" x14ac:dyDescent="0.3">
      <c r="A197" t="s">
        <v>306</v>
      </c>
      <c r="B197" t="s">
        <v>151</v>
      </c>
      <c r="C197" t="s">
        <v>11</v>
      </c>
      <c r="D197">
        <v>11</v>
      </c>
      <c r="E197" t="s">
        <v>17</v>
      </c>
      <c r="F197" t="s">
        <v>34</v>
      </c>
      <c r="G197">
        <v>50</v>
      </c>
      <c r="H197">
        <v>81</v>
      </c>
      <c r="I197" t="s">
        <v>40</v>
      </c>
      <c r="J197" t="str">
        <f>IF(Student_Data[[#This Row],[Marks]] &gt;= 90,"A+",IF(Student_Data[[#This Row],[Marks]]&gt;=80,"A",IF(Student_Data[[#This Row],[Marks]]&gt;=70,"B",IF(Student_Data[[#This Row],[Marks]]&gt;=60,"C","F"))))</f>
        <v>F</v>
      </c>
      <c r="K197" t="str">
        <f>IF(Student_Data[[#This Row],[Marks]]&gt;=35,"Pass","Fail")</f>
        <v>Pass</v>
      </c>
    </row>
    <row r="198" spans="1:11" x14ac:dyDescent="0.3">
      <c r="A198" t="s">
        <v>307</v>
      </c>
      <c r="B198" t="s">
        <v>230</v>
      </c>
      <c r="C198" t="s">
        <v>25</v>
      </c>
      <c r="D198">
        <v>12</v>
      </c>
      <c r="E198" t="s">
        <v>33</v>
      </c>
      <c r="F198" t="s">
        <v>22</v>
      </c>
      <c r="G198">
        <v>86</v>
      </c>
      <c r="H198">
        <v>79</v>
      </c>
      <c r="I198" t="s">
        <v>46</v>
      </c>
      <c r="J198" t="str">
        <f>IF(Student_Data[[#This Row],[Marks]] &gt;= 90,"A+",IF(Student_Data[[#This Row],[Marks]]&gt;=80,"A",IF(Student_Data[[#This Row],[Marks]]&gt;=70,"B",IF(Student_Data[[#This Row],[Marks]]&gt;=60,"C","F"))))</f>
        <v>A</v>
      </c>
      <c r="K198" t="str">
        <f>IF(Student_Data[[#This Row],[Marks]]&gt;=35,"Pass","Fail")</f>
        <v>Pass</v>
      </c>
    </row>
    <row r="199" spans="1:11" x14ac:dyDescent="0.3">
      <c r="A199" t="s">
        <v>308</v>
      </c>
      <c r="B199" t="s">
        <v>297</v>
      </c>
      <c r="C199" t="s">
        <v>25</v>
      </c>
      <c r="D199">
        <v>8</v>
      </c>
      <c r="E199" t="s">
        <v>17</v>
      </c>
      <c r="F199" t="s">
        <v>22</v>
      </c>
      <c r="G199">
        <v>89</v>
      </c>
      <c r="H199">
        <v>74</v>
      </c>
      <c r="I199" t="s">
        <v>35</v>
      </c>
      <c r="J199" t="str">
        <f>IF(Student_Data[[#This Row],[Marks]] &gt;= 90,"A+",IF(Student_Data[[#This Row],[Marks]]&gt;=80,"A",IF(Student_Data[[#This Row],[Marks]]&gt;=70,"B",IF(Student_Data[[#This Row],[Marks]]&gt;=60,"C","F"))))</f>
        <v>A</v>
      </c>
      <c r="K199" t="str">
        <f>IF(Student_Data[[#This Row],[Marks]]&gt;=35,"Pass","Fail")</f>
        <v>Pass</v>
      </c>
    </row>
    <row r="200" spans="1:11" x14ac:dyDescent="0.3">
      <c r="A200" t="s">
        <v>309</v>
      </c>
      <c r="B200" t="s">
        <v>75</v>
      </c>
      <c r="C200" t="s">
        <v>25</v>
      </c>
      <c r="D200">
        <v>12</v>
      </c>
      <c r="E200" t="s">
        <v>12</v>
      </c>
      <c r="F200" t="s">
        <v>34</v>
      </c>
      <c r="G200">
        <v>70</v>
      </c>
      <c r="H200">
        <v>99</v>
      </c>
      <c r="I200" t="s">
        <v>31</v>
      </c>
      <c r="J200" t="str">
        <f>IF(Student_Data[[#This Row],[Marks]] &gt;= 90,"A+",IF(Student_Data[[#This Row],[Marks]]&gt;=80,"A",IF(Student_Data[[#This Row],[Marks]]&gt;=70,"B",IF(Student_Data[[#This Row],[Marks]]&gt;=60,"C","F"))))</f>
        <v>B</v>
      </c>
      <c r="K200" t="str">
        <f>IF(Student_Data[[#This Row],[Marks]]&gt;=35,"Pass","Fail")</f>
        <v>Pass</v>
      </c>
    </row>
    <row r="201" spans="1:11" x14ac:dyDescent="0.3">
      <c r="A201" t="s">
        <v>310</v>
      </c>
      <c r="B201" t="s">
        <v>48</v>
      </c>
      <c r="C201" t="s">
        <v>11</v>
      </c>
      <c r="D201">
        <v>10</v>
      </c>
      <c r="E201" t="s">
        <v>33</v>
      </c>
      <c r="F201" t="s">
        <v>26</v>
      </c>
      <c r="G201">
        <v>97</v>
      </c>
      <c r="H201">
        <v>73</v>
      </c>
      <c r="I201" t="s">
        <v>14</v>
      </c>
      <c r="J201" t="str">
        <f>IF(Student_Data[[#This Row],[Marks]] &gt;= 90,"A+",IF(Student_Data[[#This Row],[Marks]]&gt;=80,"A",IF(Student_Data[[#This Row],[Marks]]&gt;=70,"B",IF(Student_Data[[#This Row],[Marks]]&gt;=60,"C","F"))))</f>
        <v>A+</v>
      </c>
      <c r="K201" t="str">
        <f>IF(Student_Data[[#This Row],[Marks]]&gt;=35,"Pass","Fail")</f>
        <v>Pass</v>
      </c>
    </row>
    <row r="202" spans="1:11" x14ac:dyDescent="0.3">
      <c r="A202" t="s">
        <v>311</v>
      </c>
      <c r="B202" t="s">
        <v>200</v>
      </c>
      <c r="C202" t="s">
        <v>25</v>
      </c>
      <c r="D202">
        <v>12</v>
      </c>
      <c r="E202" t="s">
        <v>17</v>
      </c>
      <c r="F202" t="s">
        <v>13</v>
      </c>
      <c r="G202">
        <v>35</v>
      </c>
      <c r="H202">
        <v>83</v>
      </c>
      <c r="I202" t="s">
        <v>14</v>
      </c>
      <c r="J202" t="str">
        <f>IF(Student_Data[[#This Row],[Marks]] &gt;= 90,"A+",IF(Student_Data[[#This Row],[Marks]]&gt;=80,"A",IF(Student_Data[[#This Row],[Marks]]&gt;=70,"B",IF(Student_Data[[#This Row],[Marks]]&gt;=60,"C","F"))))</f>
        <v>F</v>
      </c>
      <c r="K202" t="str">
        <f>IF(Student_Data[[#This Row],[Marks]]&gt;=35,"Pass","Fail")</f>
        <v>Pass</v>
      </c>
    </row>
    <row r="203" spans="1:11" x14ac:dyDescent="0.3">
      <c r="A203" t="s">
        <v>312</v>
      </c>
      <c r="B203" t="s">
        <v>285</v>
      </c>
      <c r="C203" t="s">
        <v>11</v>
      </c>
      <c r="D203">
        <v>7</v>
      </c>
      <c r="E203" t="s">
        <v>33</v>
      </c>
      <c r="F203" t="s">
        <v>13</v>
      </c>
      <c r="G203">
        <v>41</v>
      </c>
      <c r="H203">
        <v>77</v>
      </c>
      <c r="I203" t="s">
        <v>14</v>
      </c>
      <c r="J203" t="str">
        <f>IF(Student_Data[[#This Row],[Marks]] &gt;= 90,"A+",IF(Student_Data[[#This Row],[Marks]]&gt;=80,"A",IF(Student_Data[[#This Row],[Marks]]&gt;=70,"B",IF(Student_Data[[#This Row],[Marks]]&gt;=60,"C","F"))))</f>
        <v>F</v>
      </c>
      <c r="K203" t="str">
        <f>IF(Student_Data[[#This Row],[Marks]]&gt;=35,"Pass","Fail")</f>
        <v>Pass</v>
      </c>
    </row>
    <row r="204" spans="1:11" x14ac:dyDescent="0.3">
      <c r="A204" t="s">
        <v>313</v>
      </c>
      <c r="B204" t="s">
        <v>135</v>
      </c>
      <c r="C204" t="s">
        <v>11</v>
      </c>
      <c r="D204">
        <v>11</v>
      </c>
      <c r="E204" t="s">
        <v>17</v>
      </c>
      <c r="F204" t="s">
        <v>43</v>
      </c>
      <c r="G204">
        <v>72</v>
      </c>
      <c r="H204">
        <v>80</v>
      </c>
      <c r="I204" t="s">
        <v>46</v>
      </c>
      <c r="J204" t="str">
        <f>IF(Student_Data[[#This Row],[Marks]] &gt;= 90,"A+",IF(Student_Data[[#This Row],[Marks]]&gt;=80,"A",IF(Student_Data[[#This Row],[Marks]]&gt;=70,"B",IF(Student_Data[[#This Row],[Marks]]&gt;=60,"C","F"))))</f>
        <v>B</v>
      </c>
      <c r="K204" t="str">
        <f>IF(Student_Data[[#This Row],[Marks]]&gt;=35,"Pass","Fail")</f>
        <v>Pass</v>
      </c>
    </row>
    <row r="205" spans="1:11" x14ac:dyDescent="0.3">
      <c r="A205" t="s">
        <v>314</v>
      </c>
      <c r="B205" t="s">
        <v>226</v>
      </c>
      <c r="C205" t="s">
        <v>11</v>
      </c>
      <c r="D205">
        <v>8</v>
      </c>
      <c r="E205" t="s">
        <v>33</v>
      </c>
      <c r="F205" t="s">
        <v>34</v>
      </c>
      <c r="G205">
        <v>67</v>
      </c>
      <c r="H205">
        <v>67</v>
      </c>
      <c r="I205" t="s">
        <v>19</v>
      </c>
      <c r="J205" t="str">
        <f>IF(Student_Data[[#This Row],[Marks]] &gt;= 90,"A+",IF(Student_Data[[#This Row],[Marks]]&gt;=80,"A",IF(Student_Data[[#This Row],[Marks]]&gt;=70,"B",IF(Student_Data[[#This Row],[Marks]]&gt;=60,"C","F"))))</f>
        <v>C</v>
      </c>
      <c r="K205" t="str">
        <f>IF(Student_Data[[#This Row],[Marks]]&gt;=35,"Pass","Fail")</f>
        <v>Pass</v>
      </c>
    </row>
    <row r="206" spans="1:11" x14ac:dyDescent="0.3">
      <c r="A206" t="s">
        <v>315</v>
      </c>
      <c r="B206" t="s">
        <v>316</v>
      </c>
      <c r="C206" t="s">
        <v>11</v>
      </c>
      <c r="D206">
        <v>12</v>
      </c>
      <c r="E206" t="s">
        <v>12</v>
      </c>
      <c r="F206" t="s">
        <v>13</v>
      </c>
      <c r="G206">
        <v>99</v>
      </c>
      <c r="H206">
        <v>85</v>
      </c>
      <c r="I206" t="s">
        <v>31</v>
      </c>
      <c r="J206" t="str">
        <f>IF(Student_Data[[#This Row],[Marks]] &gt;= 90,"A+",IF(Student_Data[[#This Row],[Marks]]&gt;=80,"A",IF(Student_Data[[#This Row],[Marks]]&gt;=70,"B",IF(Student_Data[[#This Row],[Marks]]&gt;=60,"C","F"))))</f>
        <v>A+</v>
      </c>
      <c r="K206" t="str">
        <f>IF(Student_Data[[#This Row],[Marks]]&gt;=35,"Pass","Fail")</f>
        <v>Pass</v>
      </c>
    </row>
    <row r="207" spans="1:11" x14ac:dyDescent="0.3">
      <c r="A207" t="s">
        <v>317</v>
      </c>
      <c r="B207" t="s">
        <v>147</v>
      </c>
      <c r="C207" t="s">
        <v>25</v>
      </c>
      <c r="D207">
        <v>12</v>
      </c>
      <c r="E207" t="s">
        <v>33</v>
      </c>
      <c r="F207" t="s">
        <v>26</v>
      </c>
      <c r="G207">
        <v>44</v>
      </c>
      <c r="H207">
        <v>96</v>
      </c>
      <c r="I207" t="s">
        <v>35</v>
      </c>
      <c r="J207" t="str">
        <f>IF(Student_Data[[#This Row],[Marks]] &gt;= 90,"A+",IF(Student_Data[[#This Row],[Marks]]&gt;=80,"A",IF(Student_Data[[#This Row],[Marks]]&gt;=70,"B",IF(Student_Data[[#This Row],[Marks]]&gt;=60,"C","F"))))</f>
        <v>F</v>
      </c>
      <c r="K207" t="str">
        <f>IF(Student_Data[[#This Row],[Marks]]&gt;=35,"Pass","Fail")</f>
        <v>Pass</v>
      </c>
    </row>
    <row r="208" spans="1:11" x14ac:dyDescent="0.3">
      <c r="A208" t="s">
        <v>318</v>
      </c>
      <c r="B208" t="s">
        <v>129</v>
      </c>
      <c r="C208" t="s">
        <v>11</v>
      </c>
      <c r="D208">
        <v>12</v>
      </c>
      <c r="E208" t="s">
        <v>17</v>
      </c>
      <c r="F208" t="s">
        <v>13</v>
      </c>
      <c r="G208">
        <v>62</v>
      </c>
      <c r="H208">
        <v>84</v>
      </c>
      <c r="I208" t="s">
        <v>19</v>
      </c>
      <c r="J208" t="str">
        <f>IF(Student_Data[[#This Row],[Marks]] &gt;= 90,"A+",IF(Student_Data[[#This Row],[Marks]]&gt;=80,"A",IF(Student_Data[[#This Row],[Marks]]&gt;=70,"B",IF(Student_Data[[#This Row],[Marks]]&gt;=60,"C","F"))))</f>
        <v>C</v>
      </c>
      <c r="K208" t="str">
        <f>IF(Student_Data[[#This Row],[Marks]]&gt;=35,"Pass","Fail")</f>
        <v>Pass</v>
      </c>
    </row>
    <row r="209" spans="1:11" x14ac:dyDescent="0.3">
      <c r="A209" t="s">
        <v>319</v>
      </c>
      <c r="B209" t="s">
        <v>66</v>
      </c>
      <c r="C209" t="s">
        <v>11</v>
      </c>
      <c r="D209">
        <v>7</v>
      </c>
      <c r="E209" t="s">
        <v>17</v>
      </c>
      <c r="F209" t="s">
        <v>22</v>
      </c>
      <c r="G209">
        <v>63</v>
      </c>
      <c r="H209">
        <v>80</v>
      </c>
      <c r="I209" t="s">
        <v>35</v>
      </c>
      <c r="J209" t="str">
        <f>IF(Student_Data[[#This Row],[Marks]] &gt;= 90,"A+",IF(Student_Data[[#This Row],[Marks]]&gt;=80,"A",IF(Student_Data[[#This Row],[Marks]]&gt;=70,"B",IF(Student_Data[[#This Row],[Marks]]&gt;=60,"C","F"))))</f>
        <v>C</v>
      </c>
      <c r="K209" t="str">
        <f>IF(Student_Data[[#This Row],[Marks]]&gt;=35,"Pass","Fail")</f>
        <v>Pass</v>
      </c>
    </row>
    <row r="210" spans="1:11" x14ac:dyDescent="0.3">
      <c r="A210" t="s">
        <v>320</v>
      </c>
      <c r="B210" t="s">
        <v>21</v>
      </c>
      <c r="C210" t="s">
        <v>25</v>
      </c>
      <c r="D210">
        <v>11</v>
      </c>
      <c r="E210" t="s">
        <v>33</v>
      </c>
      <c r="F210" t="s">
        <v>34</v>
      </c>
      <c r="G210">
        <v>85</v>
      </c>
      <c r="H210">
        <v>96</v>
      </c>
      <c r="I210" t="s">
        <v>19</v>
      </c>
      <c r="J210" t="str">
        <f>IF(Student_Data[[#This Row],[Marks]] &gt;= 90,"A+",IF(Student_Data[[#This Row],[Marks]]&gt;=80,"A",IF(Student_Data[[#This Row],[Marks]]&gt;=70,"B",IF(Student_Data[[#This Row],[Marks]]&gt;=60,"C","F"))))</f>
        <v>A</v>
      </c>
      <c r="K210" t="str">
        <f>IF(Student_Data[[#This Row],[Marks]]&gt;=35,"Pass","Fail")</f>
        <v>Pass</v>
      </c>
    </row>
    <row r="211" spans="1:11" x14ac:dyDescent="0.3">
      <c r="A211" t="s">
        <v>321</v>
      </c>
      <c r="B211" t="s">
        <v>51</v>
      </c>
      <c r="C211" t="s">
        <v>11</v>
      </c>
      <c r="D211">
        <v>12</v>
      </c>
      <c r="E211" t="s">
        <v>12</v>
      </c>
      <c r="F211" t="s">
        <v>22</v>
      </c>
      <c r="G211">
        <v>56</v>
      </c>
      <c r="H211">
        <v>73</v>
      </c>
      <c r="I211" t="s">
        <v>31</v>
      </c>
      <c r="J211" t="str">
        <f>IF(Student_Data[[#This Row],[Marks]] &gt;= 90,"A+",IF(Student_Data[[#This Row],[Marks]]&gt;=80,"A",IF(Student_Data[[#This Row],[Marks]]&gt;=70,"B",IF(Student_Data[[#This Row],[Marks]]&gt;=60,"C","F"))))</f>
        <v>F</v>
      </c>
      <c r="K211" t="str">
        <f>IF(Student_Data[[#This Row],[Marks]]&gt;=35,"Pass","Fail")</f>
        <v>Pass</v>
      </c>
    </row>
    <row r="212" spans="1:11" x14ac:dyDescent="0.3">
      <c r="A212" t="s">
        <v>322</v>
      </c>
      <c r="B212" t="s">
        <v>158</v>
      </c>
      <c r="C212" t="s">
        <v>25</v>
      </c>
      <c r="D212">
        <v>9</v>
      </c>
      <c r="E212" t="s">
        <v>17</v>
      </c>
      <c r="F212" t="s">
        <v>13</v>
      </c>
      <c r="G212">
        <v>60</v>
      </c>
      <c r="H212">
        <v>75</v>
      </c>
      <c r="I212" t="s">
        <v>40</v>
      </c>
      <c r="J212" t="str">
        <f>IF(Student_Data[[#This Row],[Marks]] &gt;= 90,"A+",IF(Student_Data[[#This Row],[Marks]]&gt;=80,"A",IF(Student_Data[[#This Row],[Marks]]&gt;=70,"B",IF(Student_Data[[#This Row],[Marks]]&gt;=60,"C","F"))))</f>
        <v>C</v>
      </c>
      <c r="K212" t="str">
        <f>IF(Student_Data[[#This Row],[Marks]]&gt;=35,"Pass","Fail")</f>
        <v>Pass</v>
      </c>
    </row>
    <row r="213" spans="1:11" x14ac:dyDescent="0.3">
      <c r="A213" t="s">
        <v>323</v>
      </c>
      <c r="B213" t="s">
        <v>80</v>
      </c>
      <c r="C213" t="s">
        <v>25</v>
      </c>
      <c r="D213">
        <v>8</v>
      </c>
      <c r="E213" t="s">
        <v>33</v>
      </c>
      <c r="F213" t="s">
        <v>34</v>
      </c>
      <c r="G213">
        <v>47</v>
      </c>
      <c r="H213">
        <v>96</v>
      </c>
      <c r="I213" t="s">
        <v>49</v>
      </c>
      <c r="J213" t="str">
        <f>IF(Student_Data[[#This Row],[Marks]] &gt;= 90,"A+",IF(Student_Data[[#This Row],[Marks]]&gt;=80,"A",IF(Student_Data[[#This Row],[Marks]]&gt;=70,"B",IF(Student_Data[[#This Row],[Marks]]&gt;=60,"C","F"))))</f>
        <v>F</v>
      </c>
      <c r="K213" t="str">
        <f>IF(Student_Data[[#This Row],[Marks]]&gt;=35,"Pass","Fail")</f>
        <v>Pass</v>
      </c>
    </row>
    <row r="214" spans="1:11" x14ac:dyDescent="0.3">
      <c r="A214" t="s">
        <v>324</v>
      </c>
      <c r="B214" t="s">
        <v>112</v>
      </c>
      <c r="C214" t="s">
        <v>11</v>
      </c>
      <c r="D214">
        <v>9</v>
      </c>
      <c r="E214" t="s">
        <v>33</v>
      </c>
      <c r="F214" t="s">
        <v>34</v>
      </c>
      <c r="G214">
        <v>89</v>
      </c>
      <c r="H214">
        <v>69</v>
      </c>
      <c r="I214" t="s">
        <v>40</v>
      </c>
      <c r="J214" t="str">
        <f>IF(Student_Data[[#This Row],[Marks]] &gt;= 90,"A+",IF(Student_Data[[#This Row],[Marks]]&gt;=80,"A",IF(Student_Data[[#This Row],[Marks]]&gt;=70,"B",IF(Student_Data[[#This Row],[Marks]]&gt;=60,"C","F"))))</f>
        <v>A</v>
      </c>
      <c r="K214" t="str">
        <f>IF(Student_Data[[#This Row],[Marks]]&gt;=35,"Pass","Fail")</f>
        <v>Pass</v>
      </c>
    </row>
    <row r="215" spans="1:11" x14ac:dyDescent="0.3">
      <c r="A215" t="s">
        <v>325</v>
      </c>
      <c r="B215" t="s">
        <v>55</v>
      </c>
      <c r="C215" t="s">
        <v>11</v>
      </c>
      <c r="D215">
        <v>11</v>
      </c>
      <c r="E215" t="s">
        <v>33</v>
      </c>
      <c r="F215" t="s">
        <v>13</v>
      </c>
      <c r="G215">
        <v>83</v>
      </c>
      <c r="H215">
        <v>77</v>
      </c>
      <c r="I215" t="s">
        <v>40</v>
      </c>
      <c r="J215" t="str">
        <f>IF(Student_Data[[#This Row],[Marks]] &gt;= 90,"A+",IF(Student_Data[[#This Row],[Marks]]&gt;=80,"A",IF(Student_Data[[#This Row],[Marks]]&gt;=70,"B",IF(Student_Data[[#This Row],[Marks]]&gt;=60,"C","F"))))</f>
        <v>A</v>
      </c>
      <c r="K215" t="str">
        <f>IF(Student_Data[[#This Row],[Marks]]&gt;=35,"Pass","Fail")</f>
        <v>Pass</v>
      </c>
    </row>
    <row r="216" spans="1:11" x14ac:dyDescent="0.3">
      <c r="A216" t="s">
        <v>326</v>
      </c>
      <c r="B216" t="s">
        <v>66</v>
      </c>
      <c r="C216" t="s">
        <v>11</v>
      </c>
      <c r="D216">
        <v>8</v>
      </c>
      <c r="E216" t="s">
        <v>33</v>
      </c>
      <c r="F216" t="s">
        <v>22</v>
      </c>
      <c r="G216">
        <v>70</v>
      </c>
      <c r="H216">
        <v>99</v>
      </c>
      <c r="I216" t="s">
        <v>35</v>
      </c>
      <c r="J216" t="str">
        <f>IF(Student_Data[[#This Row],[Marks]] &gt;= 90,"A+",IF(Student_Data[[#This Row],[Marks]]&gt;=80,"A",IF(Student_Data[[#This Row],[Marks]]&gt;=70,"B",IF(Student_Data[[#This Row],[Marks]]&gt;=60,"C","F"))))</f>
        <v>B</v>
      </c>
      <c r="K216" t="str">
        <f>IF(Student_Data[[#This Row],[Marks]]&gt;=35,"Pass","Fail")</f>
        <v>Pass</v>
      </c>
    </row>
    <row r="217" spans="1:11" x14ac:dyDescent="0.3">
      <c r="A217" t="s">
        <v>327</v>
      </c>
      <c r="B217" t="s">
        <v>200</v>
      </c>
      <c r="C217" t="s">
        <v>25</v>
      </c>
      <c r="D217">
        <v>6</v>
      </c>
      <c r="E217" t="s">
        <v>12</v>
      </c>
      <c r="F217" t="s">
        <v>43</v>
      </c>
      <c r="G217">
        <v>37</v>
      </c>
      <c r="H217">
        <v>77</v>
      </c>
      <c r="I217" t="s">
        <v>31</v>
      </c>
      <c r="J217" t="str">
        <f>IF(Student_Data[[#This Row],[Marks]] &gt;= 90,"A+",IF(Student_Data[[#This Row],[Marks]]&gt;=80,"A",IF(Student_Data[[#This Row],[Marks]]&gt;=70,"B",IF(Student_Data[[#This Row],[Marks]]&gt;=60,"C","F"))))</f>
        <v>F</v>
      </c>
      <c r="K217" t="str">
        <f>IF(Student_Data[[#This Row],[Marks]]&gt;=35,"Pass","Fail")</f>
        <v>Pass</v>
      </c>
    </row>
    <row r="218" spans="1:11" x14ac:dyDescent="0.3">
      <c r="A218" t="s">
        <v>328</v>
      </c>
      <c r="B218" t="s">
        <v>184</v>
      </c>
      <c r="C218" t="s">
        <v>11</v>
      </c>
      <c r="D218">
        <v>6</v>
      </c>
      <c r="E218" t="s">
        <v>12</v>
      </c>
      <c r="F218" t="s">
        <v>22</v>
      </c>
      <c r="G218">
        <v>35</v>
      </c>
      <c r="H218">
        <v>64</v>
      </c>
      <c r="I218" t="s">
        <v>35</v>
      </c>
      <c r="J218" t="str">
        <f>IF(Student_Data[[#This Row],[Marks]] &gt;= 90,"A+",IF(Student_Data[[#This Row],[Marks]]&gt;=80,"A",IF(Student_Data[[#This Row],[Marks]]&gt;=70,"B",IF(Student_Data[[#This Row],[Marks]]&gt;=60,"C","F"))))</f>
        <v>F</v>
      </c>
      <c r="K218" t="str">
        <f>IF(Student_Data[[#This Row],[Marks]]&gt;=35,"Pass","Fail")</f>
        <v>Pass</v>
      </c>
    </row>
    <row r="219" spans="1:11" x14ac:dyDescent="0.3">
      <c r="A219" t="s">
        <v>329</v>
      </c>
      <c r="B219" t="s">
        <v>195</v>
      </c>
      <c r="C219" t="s">
        <v>11</v>
      </c>
      <c r="D219">
        <v>8</v>
      </c>
      <c r="E219" t="s">
        <v>33</v>
      </c>
      <c r="F219" t="s">
        <v>43</v>
      </c>
      <c r="G219">
        <v>66</v>
      </c>
      <c r="H219">
        <v>81</v>
      </c>
      <c r="I219" t="s">
        <v>31</v>
      </c>
      <c r="J219" t="str">
        <f>IF(Student_Data[[#This Row],[Marks]] &gt;= 90,"A+",IF(Student_Data[[#This Row],[Marks]]&gt;=80,"A",IF(Student_Data[[#This Row],[Marks]]&gt;=70,"B",IF(Student_Data[[#This Row],[Marks]]&gt;=60,"C","F"))))</f>
        <v>C</v>
      </c>
      <c r="K219" t="str">
        <f>IF(Student_Data[[#This Row],[Marks]]&gt;=35,"Pass","Fail")</f>
        <v>Pass</v>
      </c>
    </row>
    <row r="220" spans="1:11" x14ac:dyDescent="0.3">
      <c r="A220" t="s">
        <v>330</v>
      </c>
      <c r="B220" t="s">
        <v>252</v>
      </c>
      <c r="C220" t="s">
        <v>25</v>
      </c>
      <c r="D220">
        <v>10</v>
      </c>
      <c r="E220" t="s">
        <v>12</v>
      </c>
      <c r="F220" t="s">
        <v>22</v>
      </c>
      <c r="G220">
        <v>61</v>
      </c>
      <c r="H220">
        <v>75</v>
      </c>
      <c r="I220" t="s">
        <v>40</v>
      </c>
      <c r="J220" t="str">
        <f>IF(Student_Data[[#This Row],[Marks]] &gt;= 90,"A+",IF(Student_Data[[#This Row],[Marks]]&gt;=80,"A",IF(Student_Data[[#This Row],[Marks]]&gt;=70,"B",IF(Student_Data[[#This Row],[Marks]]&gt;=60,"C","F"))))</f>
        <v>C</v>
      </c>
      <c r="K220" t="str">
        <f>IF(Student_Data[[#This Row],[Marks]]&gt;=35,"Pass","Fail")</f>
        <v>Pass</v>
      </c>
    </row>
    <row r="221" spans="1:11" x14ac:dyDescent="0.3">
      <c r="A221" t="s">
        <v>331</v>
      </c>
      <c r="B221" t="s">
        <v>171</v>
      </c>
      <c r="C221" t="s">
        <v>25</v>
      </c>
      <c r="D221">
        <v>9</v>
      </c>
      <c r="E221" t="s">
        <v>12</v>
      </c>
      <c r="F221" t="s">
        <v>22</v>
      </c>
      <c r="G221">
        <v>77</v>
      </c>
      <c r="H221">
        <v>100</v>
      </c>
      <c r="I221" t="s">
        <v>46</v>
      </c>
      <c r="J221" t="str">
        <f>IF(Student_Data[[#This Row],[Marks]] &gt;= 90,"A+",IF(Student_Data[[#This Row],[Marks]]&gt;=80,"A",IF(Student_Data[[#This Row],[Marks]]&gt;=70,"B",IF(Student_Data[[#This Row],[Marks]]&gt;=60,"C","F"))))</f>
        <v>B</v>
      </c>
      <c r="K221" t="str">
        <f>IF(Student_Data[[#This Row],[Marks]]&gt;=35,"Pass","Fail")</f>
        <v>Pass</v>
      </c>
    </row>
    <row r="222" spans="1:11" x14ac:dyDescent="0.3">
      <c r="A222" t="s">
        <v>332</v>
      </c>
      <c r="B222" t="s">
        <v>224</v>
      </c>
      <c r="C222" t="s">
        <v>11</v>
      </c>
      <c r="D222">
        <v>7</v>
      </c>
      <c r="E222" t="s">
        <v>33</v>
      </c>
      <c r="F222" t="s">
        <v>13</v>
      </c>
      <c r="G222">
        <v>45</v>
      </c>
      <c r="H222">
        <v>60</v>
      </c>
      <c r="I222" t="s">
        <v>19</v>
      </c>
      <c r="J222" t="str">
        <f>IF(Student_Data[[#This Row],[Marks]] &gt;= 90,"A+",IF(Student_Data[[#This Row],[Marks]]&gt;=80,"A",IF(Student_Data[[#This Row],[Marks]]&gt;=70,"B",IF(Student_Data[[#This Row],[Marks]]&gt;=60,"C","F"))))</f>
        <v>F</v>
      </c>
      <c r="K222" t="str">
        <f>IF(Student_Data[[#This Row],[Marks]]&gt;=35,"Pass","Fail")</f>
        <v>Pass</v>
      </c>
    </row>
    <row r="223" spans="1:11" x14ac:dyDescent="0.3">
      <c r="A223" t="s">
        <v>333</v>
      </c>
      <c r="B223" t="s">
        <v>90</v>
      </c>
      <c r="C223" t="s">
        <v>25</v>
      </c>
      <c r="D223">
        <v>6</v>
      </c>
      <c r="E223" t="s">
        <v>12</v>
      </c>
      <c r="F223" t="s">
        <v>34</v>
      </c>
      <c r="G223">
        <v>38</v>
      </c>
      <c r="H223">
        <v>66</v>
      </c>
      <c r="I223" t="s">
        <v>40</v>
      </c>
      <c r="J223" t="str">
        <f>IF(Student_Data[[#This Row],[Marks]] &gt;= 90,"A+",IF(Student_Data[[#This Row],[Marks]]&gt;=80,"A",IF(Student_Data[[#This Row],[Marks]]&gt;=70,"B",IF(Student_Data[[#This Row],[Marks]]&gt;=60,"C","F"))))</f>
        <v>F</v>
      </c>
      <c r="K223" t="str">
        <f>IF(Student_Data[[#This Row],[Marks]]&gt;=35,"Pass","Fail")</f>
        <v>Pass</v>
      </c>
    </row>
    <row r="224" spans="1:11" x14ac:dyDescent="0.3">
      <c r="A224" t="s">
        <v>334</v>
      </c>
      <c r="B224" t="s">
        <v>126</v>
      </c>
      <c r="C224" t="s">
        <v>11</v>
      </c>
      <c r="D224">
        <v>7</v>
      </c>
      <c r="E224" t="s">
        <v>33</v>
      </c>
      <c r="F224" t="s">
        <v>18</v>
      </c>
      <c r="G224">
        <v>84</v>
      </c>
      <c r="H224">
        <v>63</v>
      </c>
      <c r="I224" t="s">
        <v>35</v>
      </c>
      <c r="J224" t="str">
        <f>IF(Student_Data[[#This Row],[Marks]] &gt;= 90,"A+",IF(Student_Data[[#This Row],[Marks]]&gt;=80,"A",IF(Student_Data[[#This Row],[Marks]]&gt;=70,"B",IF(Student_Data[[#This Row],[Marks]]&gt;=60,"C","F"))))</f>
        <v>A</v>
      </c>
      <c r="K224" t="str">
        <f>IF(Student_Data[[#This Row],[Marks]]&gt;=35,"Pass","Fail")</f>
        <v>Pass</v>
      </c>
    </row>
    <row r="225" spans="1:11" x14ac:dyDescent="0.3">
      <c r="A225" t="s">
        <v>335</v>
      </c>
      <c r="B225" t="s">
        <v>57</v>
      </c>
      <c r="C225" t="s">
        <v>11</v>
      </c>
      <c r="D225">
        <v>9</v>
      </c>
      <c r="E225" t="s">
        <v>12</v>
      </c>
      <c r="F225" t="s">
        <v>18</v>
      </c>
      <c r="G225">
        <v>96</v>
      </c>
      <c r="H225">
        <v>67</v>
      </c>
      <c r="I225" t="s">
        <v>46</v>
      </c>
      <c r="J225" t="str">
        <f>IF(Student_Data[[#This Row],[Marks]] &gt;= 90,"A+",IF(Student_Data[[#This Row],[Marks]]&gt;=80,"A",IF(Student_Data[[#This Row],[Marks]]&gt;=70,"B",IF(Student_Data[[#This Row],[Marks]]&gt;=60,"C","F"))))</f>
        <v>A+</v>
      </c>
      <c r="K225" t="str">
        <f>IF(Student_Data[[#This Row],[Marks]]&gt;=35,"Pass","Fail")</f>
        <v>Pass</v>
      </c>
    </row>
    <row r="226" spans="1:11" x14ac:dyDescent="0.3">
      <c r="A226" t="s">
        <v>336</v>
      </c>
      <c r="B226" t="s">
        <v>211</v>
      </c>
      <c r="C226" t="s">
        <v>11</v>
      </c>
      <c r="D226">
        <v>6</v>
      </c>
      <c r="E226" t="s">
        <v>17</v>
      </c>
      <c r="F226" t="s">
        <v>34</v>
      </c>
      <c r="G226">
        <v>56</v>
      </c>
      <c r="H226">
        <v>100</v>
      </c>
      <c r="I226" t="s">
        <v>49</v>
      </c>
      <c r="J226" t="str">
        <f>IF(Student_Data[[#This Row],[Marks]] &gt;= 90,"A+",IF(Student_Data[[#This Row],[Marks]]&gt;=80,"A",IF(Student_Data[[#This Row],[Marks]]&gt;=70,"B",IF(Student_Data[[#This Row],[Marks]]&gt;=60,"C","F"))))</f>
        <v>F</v>
      </c>
      <c r="K226" t="str">
        <f>IF(Student_Data[[#This Row],[Marks]]&gt;=35,"Pass","Fail")</f>
        <v>Pass</v>
      </c>
    </row>
    <row r="227" spans="1:11" x14ac:dyDescent="0.3">
      <c r="A227" t="s">
        <v>337</v>
      </c>
      <c r="B227" t="s">
        <v>116</v>
      </c>
      <c r="C227" t="s">
        <v>11</v>
      </c>
      <c r="D227">
        <v>9</v>
      </c>
      <c r="E227" t="s">
        <v>12</v>
      </c>
      <c r="F227" t="s">
        <v>22</v>
      </c>
      <c r="G227">
        <v>100</v>
      </c>
      <c r="H227">
        <v>82</v>
      </c>
      <c r="I227" t="s">
        <v>19</v>
      </c>
      <c r="J227" t="str">
        <f>IF(Student_Data[[#This Row],[Marks]] &gt;= 90,"A+",IF(Student_Data[[#This Row],[Marks]]&gt;=80,"A",IF(Student_Data[[#This Row],[Marks]]&gt;=70,"B",IF(Student_Data[[#This Row],[Marks]]&gt;=60,"C","F"))))</f>
        <v>A+</v>
      </c>
      <c r="K227" t="str">
        <f>IF(Student_Data[[#This Row],[Marks]]&gt;=35,"Pass","Fail")</f>
        <v>Pass</v>
      </c>
    </row>
    <row r="228" spans="1:11" x14ac:dyDescent="0.3">
      <c r="A228" t="s">
        <v>338</v>
      </c>
      <c r="B228" t="s">
        <v>158</v>
      </c>
      <c r="C228" t="s">
        <v>25</v>
      </c>
      <c r="D228">
        <v>8</v>
      </c>
      <c r="E228" t="s">
        <v>12</v>
      </c>
      <c r="F228" t="s">
        <v>13</v>
      </c>
      <c r="G228">
        <v>35</v>
      </c>
      <c r="H228">
        <v>61</v>
      </c>
      <c r="I228" t="s">
        <v>49</v>
      </c>
      <c r="J228" t="str">
        <f>IF(Student_Data[[#This Row],[Marks]] &gt;= 90,"A+",IF(Student_Data[[#This Row],[Marks]]&gt;=80,"A",IF(Student_Data[[#This Row],[Marks]]&gt;=70,"B",IF(Student_Data[[#This Row],[Marks]]&gt;=60,"C","F"))))</f>
        <v>F</v>
      </c>
      <c r="K228" t="str">
        <f>IF(Student_Data[[#This Row],[Marks]]&gt;=35,"Pass","Fail")</f>
        <v>Pass</v>
      </c>
    </row>
    <row r="229" spans="1:11" x14ac:dyDescent="0.3">
      <c r="A229" t="s">
        <v>339</v>
      </c>
      <c r="B229" t="s">
        <v>198</v>
      </c>
      <c r="C229" t="s">
        <v>25</v>
      </c>
      <c r="D229">
        <v>6</v>
      </c>
      <c r="E229" t="s">
        <v>33</v>
      </c>
      <c r="F229" t="s">
        <v>22</v>
      </c>
      <c r="G229">
        <v>90</v>
      </c>
      <c r="H229">
        <v>62</v>
      </c>
      <c r="I229" t="s">
        <v>40</v>
      </c>
      <c r="J229" t="str">
        <f>IF(Student_Data[[#This Row],[Marks]] &gt;= 90,"A+",IF(Student_Data[[#This Row],[Marks]]&gt;=80,"A",IF(Student_Data[[#This Row],[Marks]]&gt;=70,"B",IF(Student_Data[[#This Row],[Marks]]&gt;=60,"C","F"))))</f>
        <v>A+</v>
      </c>
      <c r="K229" t="str">
        <f>IF(Student_Data[[#This Row],[Marks]]&gt;=35,"Pass","Fail")</f>
        <v>Pass</v>
      </c>
    </row>
    <row r="230" spans="1:11" x14ac:dyDescent="0.3">
      <c r="A230" t="s">
        <v>340</v>
      </c>
      <c r="B230" t="s">
        <v>189</v>
      </c>
      <c r="C230" t="s">
        <v>11</v>
      </c>
      <c r="D230">
        <v>11</v>
      </c>
      <c r="E230" t="s">
        <v>17</v>
      </c>
      <c r="F230" t="s">
        <v>13</v>
      </c>
      <c r="G230">
        <v>89</v>
      </c>
      <c r="H230">
        <v>96</v>
      </c>
      <c r="I230" t="s">
        <v>49</v>
      </c>
      <c r="J230" t="str">
        <f>IF(Student_Data[[#This Row],[Marks]] &gt;= 90,"A+",IF(Student_Data[[#This Row],[Marks]]&gt;=80,"A",IF(Student_Data[[#This Row],[Marks]]&gt;=70,"B",IF(Student_Data[[#This Row],[Marks]]&gt;=60,"C","F"))))</f>
        <v>A</v>
      </c>
      <c r="K230" t="str">
        <f>IF(Student_Data[[#This Row],[Marks]]&gt;=35,"Pass","Fail")</f>
        <v>Pass</v>
      </c>
    </row>
    <row r="231" spans="1:11" x14ac:dyDescent="0.3">
      <c r="A231" t="s">
        <v>341</v>
      </c>
      <c r="B231" t="s">
        <v>143</v>
      </c>
      <c r="C231" t="s">
        <v>11</v>
      </c>
      <c r="D231">
        <v>9</v>
      </c>
      <c r="E231" t="s">
        <v>33</v>
      </c>
      <c r="F231" t="s">
        <v>18</v>
      </c>
      <c r="G231">
        <v>100</v>
      </c>
      <c r="H231">
        <v>78</v>
      </c>
      <c r="I231" t="s">
        <v>14</v>
      </c>
      <c r="J231" t="str">
        <f>IF(Student_Data[[#This Row],[Marks]] &gt;= 90,"A+",IF(Student_Data[[#This Row],[Marks]]&gt;=80,"A",IF(Student_Data[[#This Row],[Marks]]&gt;=70,"B",IF(Student_Data[[#This Row],[Marks]]&gt;=60,"C","F"))))</f>
        <v>A+</v>
      </c>
      <c r="K231" t="str">
        <f>IF(Student_Data[[#This Row],[Marks]]&gt;=35,"Pass","Fail")</f>
        <v>Pass</v>
      </c>
    </row>
    <row r="232" spans="1:11" x14ac:dyDescent="0.3">
      <c r="A232" t="s">
        <v>342</v>
      </c>
      <c r="B232" t="s">
        <v>252</v>
      </c>
      <c r="C232" t="s">
        <v>11</v>
      </c>
      <c r="D232">
        <v>7</v>
      </c>
      <c r="E232" t="s">
        <v>33</v>
      </c>
      <c r="F232" t="s">
        <v>22</v>
      </c>
      <c r="G232">
        <v>64</v>
      </c>
      <c r="H232">
        <v>85</v>
      </c>
      <c r="I232" t="s">
        <v>40</v>
      </c>
      <c r="J232" t="str">
        <f>IF(Student_Data[[#This Row],[Marks]] &gt;= 90,"A+",IF(Student_Data[[#This Row],[Marks]]&gt;=80,"A",IF(Student_Data[[#This Row],[Marks]]&gt;=70,"B",IF(Student_Data[[#This Row],[Marks]]&gt;=60,"C","F"))))</f>
        <v>C</v>
      </c>
      <c r="K232" t="str">
        <f>IF(Student_Data[[#This Row],[Marks]]&gt;=35,"Pass","Fail")</f>
        <v>Pass</v>
      </c>
    </row>
    <row r="233" spans="1:11" x14ac:dyDescent="0.3">
      <c r="A233" t="s">
        <v>343</v>
      </c>
      <c r="B233" t="s">
        <v>107</v>
      </c>
      <c r="C233" t="s">
        <v>11</v>
      </c>
      <c r="D233">
        <v>10</v>
      </c>
      <c r="E233" t="s">
        <v>17</v>
      </c>
      <c r="F233" t="s">
        <v>26</v>
      </c>
      <c r="G233">
        <v>75</v>
      </c>
      <c r="H233">
        <v>100</v>
      </c>
      <c r="I233" t="s">
        <v>14</v>
      </c>
      <c r="J233" t="str">
        <f>IF(Student_Data[[#This Row],[Marks]] &gt;= 90,"A+",IF(Student_Data[[#This Row],[Marks]]&gt;=80,"A",IF(Student_Data[[#This Row],[Marks]]&gt;=70,"B",IF(Student_Data[[#This Row],[Marks]]&gt;=60,"C","F"))))</f>
        <v>B</v>
      </c>
      <c r="K233" t="str">
        <f>IF(Student_Data[[#This Row],[Marks]]&gt;=35,"Pass","Fail")</f>
        <v>Pass</v>
      </c>
    </row>
    <row r="234" spans="1:11" x14ac:dyDescent="0.3">
      <c r="A234" t="s">
        <v>344</v>
      </c>
      <c r="B234" t="s">
        <v>82</v>
      </c>
      <c r="C234" t="s">
        <v>11</v>
      </c>
      <c r="D234">
        <v>7</v>
      </c>
      <c r="E234" t="s">
        <v>33</v>
      </c>
      <c r="F234" t="s">
        <v>43</v>
      </c>
      <c r="G234">
        <v>54</v>
      </c>
      <c r="H234">
        <v>86</v>
      </c>
      <c r="I234" t="s">
        <v>49</v>
      </c>
      <c r="J234" t="str">
        <f>IF(Student_Data[[#This Row],[Marks]] &gt;= 90,"A+",IF(Student_Data[[#This Row],[Marks]]&gt;=80,"A",IF(Student_Data[[#This Row],[Marks]]&gt;=70,"B",IF(Student_Data[[#This Row],[Marks]]&gt;=60,"C","F"))))</f>
        <v>F</v>
      </c>
      <c r="K234" t="str">
        <f>IF(Student_Data[[#This Row],[Marks]]&gt;=35,"Pass","Fail")</f>
        <v>Pass</v>
      </c>
    </row>
    <row r="235" spans="1:11" x14ac:dyDescent="0.3">
      <c r="A235" t="s">
        <v>345</v>
      </c>
      <c r="B235" t="s">
        <v>226</v>
      </c>
      <c r="C235" t="s">
        <v>25</v>
      </c>
      <c r="D235">
        <v>9</v>
      </c>
      <c r="E235" t="s">
        <v>12</v>
      </c>
      <c r="F235" t="s">
        <v>43</v>
      </c>
      <c r="G235">
        <v>39</v>
      </c>
      <c r="H235">
        <v>96</v>
      </c>
      <c r="I235" t="s">
        <v>40</v>
      </c>
      <c r="J235" t="str">
        <f>IF(Student_Data[[#This Row],[Marks]] &gt;= 90,"A+",IF(Student_Data[[#This Row],[Marks]]&gt;=80,"A",IF(Student_Data[[#This Row],[Marks]]&gt;=70,"B",IF(Student_Data[[#This Row],[Marks]]&gt;=60,"C","F"))))</f>
        <v>F</v>
      </c>
      <c r="K235" t="str">
        <f>IF(Student_Data[[#This Row],[Marks]]&gt;=35,"Pass","Fail")</f>
        <v>Pass</v>
      </c>
    </row>
    <row r="236" spans="1:11" x14ac:dyDescent="0.3">
      <c r="A236" t="s">
        <v>346</v>
      </c>
      <c r="B236" t="s">
        <v>195</v>
      </c>
      <c r="C236" t="s">
        <v>25</v>
      </c>
      <c r="D236">
        <v>9</v>
      </c>
      <c r="E236" t="s">
        <v>17</v>
      </c>
      <c r="F236" t="s">
        <v>43</v>
      </c>
      <c r="G236">
        <v>72</v>
      </c>
      <c r="H236">
        <v>82</v>
      </c>
      <c r="I236" t="s">
        <v>40</v>
      </c>
      <c r="J236" t="str">
        <f>IF(Student_Data[[#This Row],[Marks]] &gt;= 90,"A+",IF(Student_Data[[#This Row],[Marks]]&gt;=80,"A",IF(Student_Data[[#This Row],[Marks]]&gt;=70,"B",IF(Student_Data[[#This Row],[Marks]]&gt;=60,"C","F"))))</f>
        <v>B</v>
      </c>
      <c r="K236" t="str">
        <f>IF(Student_Data[[#This Row],[Marks]]&gt;=35,"Pass","Fail")</f>
        <v>Pass</v>
      </c>
    </row>
    <row r="237" spans="1:11" x14ac:dyDescent="0.3">
      <c r="A237" t="s">
        <v>347</v>
      </c>
      <c r="B237" t="s">
        <v>189</v>
      </c>
      <c r="C237" t="s">
        <v>25</v>
      </c>
      <c r="D237">
        <v>8</v>
      </c>
      <c r="E237" t="s">
        <v>12</v>
      </c>
      <c r="F237" t="s">
        <v>22</v>
      </c>
      <c r="G237">
        <v>55</v>
      </c>
      <c r="H237">
        <v>92</v>
      </c>
      <c r="I237" t="s">
        <v>40</v>
      </c>
      <c r="J237" t="str">
        <f>IF(Student_Data[[#This Row],[Marks]] &gt;= 90,"A+",IF(Student_Data[[#This Row],[Marks]]&gt;=80,"A",IF(Student_Data[[#This Row],[Marks]]&gt;=70,"B",IF(Student_Data[[#This Row],[Marks]]&gt;=60,"C","F"))))</f>
        <v>F</v>
      </c>
      <c r="K237" t="str">
        <f>IF(Student_Data[[#This Row],[Marks]]&gt;=35,"Pass","Fail")</f>
        <v>Pass</v>
      </c>
    </row>
    <row r="238" spans="1:11" x14ac:dyDescent="0.3">
      <c r="A238" t="s">
        <v>348</v>
      </c>
      <c r="B238" t="s">
        <v>96</v>
      </c>
      <c r="C238" t="s">
        <v>25</v>
      </c>
      <c r="D238">
        <v>11</v>
      </c>
      <c r="E238" t="s">
        <v>17</v>
      </c>
      <c r="F238" t="s">
        <v>26</v>
      </c>
      <c r="G238">
        <v>49</v>
      </c>
      <c r="H238">
        <v>67</v>
      </c>
      <c r="I238" t="s">
        <v>14</v>
      </c>
      <c r="J238" t="str">
        <f>IF(Student_Data[[#This Row],[Marks]] &gt;= 90,"A+",IF(Student_Data[[#This Row],[Marks]]&gt;=80,"A",IF(Student_Data[[#This Row],[Marks]]&gt;=70,"B",IF(Student_Data[[#This Row],[Marks]]&gt;=60,"C","F"))))</f>
        <v>F</v>
      </c>
      <c r="K238" t="str">
        <f>IF(Student_Data[[#This Row],[Marks]]&gt;=35,"Pass","Fail")</f>
        <v>Pass</v>
      </c>
    </row>
    <row r="239" spans="1:11" x14ac:dyDescent="0.3">
      <c r="A239" t="s">
        <v>349</v>
      </c>
      <c r="B239" t="s">
        <v>24</v>
      </c>
      <c r="C239" t="s">
        <v>11</v>
      </c>
      <c r="D239">
        <v>12</v>
      </c>
      <c r="E239" t="s">
        <v>33</v>
      </c>
      <c r="F239" t="s">
        <v>26</v>
      </c>
      <c r="G239">
        <v>92</v>
      </c>
      <c r="H239">
        <v>87</v>
      </c>
      <c r="I239" t="s">
        <v>49</v>
      </c>
      <c r="J239" t="str">
        <f>IF(Student_Data[[#This Row],[Marks]] &gt;= 90,"A+",IF(Student_Data[[#This Row],[Marks]]&gt;=80,"A",IF(Student_Data[[#This Row],[Marks]]&gt;=70,"B",IF(Student_Data[[#This Row],[Marks]]&gt;=60,"C","F"))))</f>
        <v>A+</v>
      </c>
      <c r="K239" t="str">
        <f>IF(Student_Data[[#This Row],[Marks]]&gt;=35,"Pass","Fail")</f>
        <v>Pass</v>
      </c>
    </row>
    <row r="240" spans="1:11" x14ac:dyDescent="0.3">
      <c r="A240" t="s">
        <v>350</v>
      </c>
      <c r="B240" t="s">
        <v>316</v>
      </c>
      <c r="C240" t="s">
        <v>25</v>
      </c>
      <c r="D240">
        <v>9</v>
      </c>
      <c r="E240" t="s">
        <v>33</v>
      </c>
      <c r="F240" t="s">
        <v>26</v>
      </c>
      <c r="G240">
        <v>37</v>
      </c>
      <c r="H240">
        <v>72</v>
      </c>
      <c r="I240" t="s">
        <v>35</v>
      </c>
      <c r="J240" t="str">
        <f>IF(Student_Data[[#This Row],[Marks]] &gt;= 90,"A+",IF(Student_Data[[#This Row],[Marks]]&gt;=80,"A",IF(Student_Data[[#This Row],[Marks]]&gt;=70,"B",IF(Student_Data[[#This Row],[Marks]]&gt;=60,"C","F"))))</f>
        <v>F</v>
      </c>
      <c r="K240" t="str">
        <f>IF(Student_Data[[#This Row],[Marks]]&gt;=35,"Pass","Fail")</f>
        <v>Pass</v>
      </c>
    </row>
    <row r="241" spans="1:11" x14ac:dyDescent="0.3">
      <c r="A241" t="s">
        <v>351</v>
      </c>
      <c r="B241" t="s">
        <v>211</v>
      </c>
      <c r="C241" t="s">
        <v>25</v>
      </c>
      <c r="D241">
        <v>7</v>
      </c>
      <c r="E241" t="s">
        <v>17</v>
      </c>
      <c r="F241" t="s">
        <v>18</v>
      </c>
      <c r="G241">
        <v>89</v>
      </c>
      <c r="H241">
        <v>85</v>
      </c>
      <c r="I241" t="s">
        <v>31</v>
      </c>
      <c r="J241" t="str">
        <f>IF(Student_Data[[#This Row],[Marks]] &gt;= 90,"A+",IF(Student_Data[[#This Row],[Marks]]&gt;=80,"A",IF(Student_Data[[#This Row],[Marks]]&gt;=70,"B",IF(Student_Data[[#This Row],[Marks]]&gt;=60,"C","F"))))</f>
        <v>A</v>
      </c>
      <c r="K241" t="str">
        <f>IF(Student_Data[[#This Row],[Marks]]&gt;=35,"Pass","Fail")</f>
        <v>Pass</v>
      </c>
    </row>
    <row r="242" spans="1:11" x14ac:dyDescent="0.3">
      <c r="A242" t="s">
        <v>352</v>
      </c>
      <c r="B242" t="s">
        <v>30</v>
      </c>
      <c r="C242" t="s">
        <v>11</v>
      </c>
      <c r="D242">
        <v>11</v>
      </c>
      <c r="E242" t="s">
        <v>33</v>
      </c>
      <c r="F242" t="s">
        <v>22</v>
      </c>
      <c r="G242">
        <v>45</v>
      </c>
      <c r="H242">
        <v>98</v>
      </c>
      <c r="I242" t="s">
        <v>35</v>
      </c>
      <c r="J242" t="str">
        <f>IF(Student_Data[[#This Row],[Marks]] &gt;= 90,"A+",IF(Student_Data[[#This Row],[Marks]]&gt;=80,"A",IF(Student_Data[[#This Row],[Marks]]&gt;=70,"B",IF(Student_Data[[#This Row],[Marks]]&gt;=60,"C","F"))))</f>
        <v>F</v>
      </c>
      <c r="K242" t="str">
        <f>IF(Student_Data[[#This Row],[Marks]]&gt;=35,"Pass","Fail")</f>
        <v>Pass</v>
      </c>
    </row>
    <row r="243" spans="1:11" x14ac:dyDescent="0.3">
      <c r="A243" t="s">
        <v>353</v>
      </c>
      <c r="B243" t="s">
        <v>21</v>
      </c>
      <c r="C243" t="s">
        <v>11</v>
      </c>
      <c r="D243">
        <v>8</v>
      </c>
      <c r="E243" t="s">
        <v>33</v>
      </c>
      <c r="F243" t="s">
        <v>18</v>
      </c>
      <c r="G243">
        <v>73</v>
      </c>
      <c r="H243">
        <v>85</v>
      </c>
      <c r="I243" t="s">
        <v>31</v>
      </c>
      <c r="J243" t="str">
        <f>IF(Student_Data[[#This Row],[Marks]] &gt;= 90,"A+",IF(Student_Data[[#This Row],[Marks]]&gt;=80,"A",IF(Student_Data[[#This Row],[Marks]]&gt;=70,"B",IF(Student_Data[[#This Row],[Marks]]&gt;=60,"C","F"))))</f>
        <v>B</v>
      </c>
      <c r="K243" t="str">
        <f>IF(Student_Data[[#This Row],[Marks]]&gt;=35,"Pass","Fail")</f>
        <v>Pass</v>
      </c>
    </row>
    <row r="244" spans="1:11" x14ac:dyDescent="0.3">
      <c r="A244" t="s">
        <v>354</v>
      </c>
      <c r="B244" t="s">
        <v>164</v>
      </c>
      <c r="C244" t="s">
        <v>25</v>
      </c>
      <c r="D244">
        <v>9</v>
      </c>
      <c r="E244" t="s">
        <v>33</v>
      </c>
      <c r="F244" t="s">
        <v>22</v>
      </c>
      <c r="G244">
        <v>46</v>
      </c>
      <c r="H244">
        <v>64</v>
      </c>
      <c r="I244" t="s">
        <v>40</v>
      </c>
      <c r="J244" t="str">
        <f>IF(Student_Data[[#This Row],[Marks]] &gt;= 90,"A+",IF(Student_Data[[#This Row],[Marks]]&gt;=80,"A",IF(Student_Data[[#This Row],[Marks]]&gt;=70,"B",IF(Student_Data[[#This Row],[Marks]]&gt;=60,"C","F"))))</f>
        <v>F</v>
      </c>
      <c r="K244" t="str">
        <f>IF(Student_Data[[#This Row],[Marks]]&gt;=35,"Pass","Fail")</f>
        <v>Pass</v>
      </c>
    </row>
    <row r="245" spans="1:11" x14ac:dyDescent="0.3">
      <c r="A245" t="s">
        <v>355</v>
      </c>
      <c r="B245" t="s">
        <v>143</v>
      </c>
      <c r="C245" t="s">
        <v>11</v>
      </c>
      <c r="D245">
        <v>9</v>
      </c>
      <c r="E245" t="s">
        <v>12</v>
      </c>
      <c r="F245" t="s">
        <v>26</v>
      </c>
      <c r="G245">
        <v>99</v>
      </c>
      <c r="H245">
        <v>90</v>
      </c>
      <c r="I245" t="s">
        <v>35</v>
      </c>
      <c r="J245" t="str">
        <f>IF(Student_Data[[#This Row],[Marks]] &gt;= 90,"A+",IF(Student_Data[[#This Row],[Marks]]&gt;=80,"A",IF(Student_Data[[#This Row],[Marks]]&gt;=70,"B",IF(Student_Data[[#This Row],[Marks]]&gt;=60,"C","F"))))</f>
        <v>A+</v>
      </c>
      <c r="K245" t="str">
        <f>IF(Student_Data[[#This Row],[Marks]]&gt;=35,"Pass","Fail")</f>
        <v>Pass</v>
      </c>
    </row>
    <row r="246" spans="1:11" x14ac:dyDescent="0.3">
      <c r="A246" t="s">
        <v>356</v>
      </c>
      <c r="B246" t="s">
        <v>171</v>
      </c>
      <c r="C246" t="s">
        <v>11</v>
      </c>
      <c r="D246">
        <v>11</v>
      </c>
      <c r="E246" t="s">
        <v>17</v>
      </c>
      <c r="F246" t="s">
        <v>34</v>
      </c>
      <c r="G246">
        <v>39</v>
      </c>
      <c r="H246">
        <v>79</v>
      </c>
      <c r="I246" t="s">
        <v>19</v>
      </c>
      <c r="J246" t="str">
        <f>IF(Student_Data[[#This Row],[Marks]] &gt;= 90,"A+",IF(Student_Data[[#This Row],[Marks]]&gt;=80,"A",IF(Student_Data[[#This Row],[Marks]]&gt;=70,"B",IF(Student_Data[[#This Row],[Marks]]&gt;=60,"C","F"))))</f>
        <v>F</v>
      </c>
      <c r="K246" t="str">
        <f>IF(Student_Data[[#This Row],[Marks]]&gt;=35,"Pass","Fail")</f>
        <v>Pass</v>
      </c>
    </row>
    <row r="247" spans="1:11" x14ac:dyDescent="0.3">
      <c r="A247" t="s">
        <v>357</v>
      </c>
      <c r="B247" t="s">
        <v>102</v>
      </c>
      <c r="C247" t="s">
        <v>11</v>
      </c>
      <c r="D247">
        <v>8</v>
      </c>
      <c r="E247" t="s">
        <v>17</v>
      </c>
      <c r="F247" t="s">
        <v>18</v>
      </c>
      <c r="G247">
        <v>71</v>
      </c>
      <c r="H247">
        <v>91</v>
      </c>
      <c r="I247" t="s">
        <v>49</v>
      </c>
      <c r="J247" t="str">
        <f>IF(Student_Data[[#This Row],[Marks]] &gt;= 90,"A+",IF(Student_Data[[#This Row],[Marks]]&gt;=80,"A",IF(Student_Data[[#This Row],[Marks]]&gt;=70,"B",IF(Student_Data[[#This Row],[Marks]]&gt;=60,"C","F"))))</f>
        <v>B</v>
      </c>
      <c r="K247" t="str">
        <f>IF(Student_Data[[#This Row],[Marks]]&gt;=35,"Pass","Fail")</f>
        <v>Pass</v>
      </c>
    </row>
    <row r="248" spans="1:11" x14ac:dyDescent="0.3">
      <c r="A248" t="s">
        <v>358</v>
      </c>
      <c r="B248" t="s">
        <v>96</v>
      </c>
      <c r="C248" t="s">
        <v>25</v>
      </c>
      <c r="D248">
        <v>6</v>
      </c>
      <c r="E248" t="s">
        <v>33</v>
      </c>
      <c r="F248" t="s">
        <v>13</v>
      </c>
      <c r="G248">
        <v>72</v>
      </c>
      <c r="H248">
        <v>74</v>
      </c>
      <c r="I248" t="s">
        <v>46</v>
      </c>
      <c r="J248" t="str">
        <f>IF(Student_Data[[#This Row],[Marks]] &gt;= 90,"A+",IF(Student_Data[[#This Row],[Marks]]&gt;=80,"A",IF(Student_Data[[#This Row],[Marks]]&gt;=70,"B",IF(Student_Data[[#This Row],[Marks]]&gt;=60,"C","F"))))</f>
        <v>B</v>
      </c>
      <c r="K248" t="str">
        <f>IF(Student_Data[[#This Row],[Marks]]&gt;=35,"Pass","Fail")</f>
        <v>Pass</v>
      </c>
    </row>
    <row r="249" spans="1:11" x14ac:dyDescent="0.3">
      <c r="A249" t="s">
        <v>359</v>
      </c>
      <c r="B249" t="s">
        <v>70</v>
      </c>
      <c r="C249" t="s">
        <v>25</v>
      </c>
      <c r="D249">
        <v>12</v>
      </c>
      <c r="E249" t="s">
        <v>12</v>
      </c>
      <c r="F249" t="s">
        <v>34</v>
      </c>
      <c r="G249">
        <v>76</v>
      </c>
      <c r="H249">
        <v>81</v>
      </c>
      <c r="I249" t="s">
        <v>40</v>
      </c>
      <c r="J249" t="str">
        <f>IF(Student_Data[[#This Row],[Marks]] &gt;= 90,"A+",IF(Student_Data[[#This Row],[Marks]]&gt;=80,"A",IF(Student_Data[[#This Row],[Marks]]&gt;=70,"B",IF(Student_Data[[#This Row],[Marks]]&gt;=60,"C","F"))))</f>
        <v>B</v>
      </c>
      <c r="K249" t="str">
        <f>IF(Student_Data[[#This Row],[Marks]]&gt;=35,"Pass","Fail")</f>
        <v>Pass</v>
      </c>
    </row>
    <row r="250" spans="1:11" x14ac:dyDescent="0.3">
      <c r="A250" t="s">
        <v>360</v>
      </c>
      <c r="B250" t="s">
        <v>179</v>
      </c>
      <c r="C250" t="s">
        <v>25</v>
      </c>
      <c r="D250">
        <v>8</v>
      </c>
      <c r="E250" t="s">
        <v>33</v>
      </c>
      <c r="F250" t="s">
        <v>22</v>
      </c>
      <c r="G250">
        <v>53</v>
      </c>
      <c r="H250">
        <v>83</v>
      </c>
      <c r="I250" t="s">
        <v>46</v>
      </c>
      <c r="J250" t="str">
        <f>IF(Student_Data[[#This Row],[Marks]] &gt;= 90,"A+",IF(Student_Data[[#This Row],[Marks]]&gt;=80,"A",IF(Student_Data[[#This Row],[Marks]]&gt;=70,"B",IF(Student_Data[[#This Row],[Marks]]&gt;=60,"C","F"))))</f>
        <v>F</v>
      </c>
      <c r="K250" t="str">
        <f>IF(Student_Data[[#This Row],[Marks]]&gt;=35,"Pass","Fail")</f>
        <v>Pass</v>
      </c>
    </row>
    <row r="251" spans="1:11" x14ac:dyDescent="0.3">
      <c r="A251" t="s">
        <v>361</v>
      </c>
      <c r="B251" t="s">
        <v>184</v>
      </c>
      <c r="C251" t="s">
        <v>11</v>
      </c>
      <c r="D251">
        <v>11</v>
      </c>
      <c r="E251" t="s">
        <v>12</v>
      </c>
      <c r="F251" t="s">
        <v>18</v>
      </c>
      <c r="G251">
        <v>38</v>
      </c>
      <c r="H251">
        <v>86</v>
      </c>
      <c r="I251" t="s">
        <v>35</v>
      </c>
      <c r="J251" t="str">
        <f>IF(Student_Data[[#This Row],[Marks]] &gt;= 90,"A+",IF(Student_Data[[#This Row],[Marks]]&gt;=80,"A",IF(Student_Data[[#This Row],[Marks]]&gt;=70,"B",IF(Student_Data[[#This Row],[Marks]]&gt;=60,"C","F"))))</f>
        <v>F</v>
      </c>
      <c r="K251" t="str">
        <f>IF(Student_Data[[#This Row],[Marks]]&gt;=35,"Pass","Fail")</f>
        <v>Pass</v>
      </c>
    </row>
    <row r="252" spans="1:11" x14ac:dyDescent="0.3">
      <c r="A252" t="s">
        <v>362</v>
      </c>
      <c r="B252" t="s">
        <v>242</v>
      </c>
      <c r="C252" t="s">
        <v>25</v>
      </c>
      <c r="D252">
        <v>8</v>
      </c>
      <c r="E252" t="s">
        <v>17</v>
      </c>
      <c r="F252" t="s">
        <v>18</v>
      </c>
      <c r="G252">
        <v>98</v>
      </c>
      <c r="H252">
        <v>91</v>
      </c>
      <c r="I252" t="s">
        <v>19</v>
      </c>
      <c r="J252" t="str">
        <f>IF(Student_Data[[#This Row],[Marks]] &gt;= 90,"A+",IF(Student_Data[[#This Row],[Marks]]&gt;=80,"A",IF(Student_Data[[#This Row],[Marks]]&gt;=70,"B",IF(Student_Data[[#This Row],[Marks]]&gt;=60,"C","F"))))</f>
        <v>A+</v>
      </c>
      <c r="K252" t="str">
        <f>IF(Student_Data[[#This Row],[Marks]]&gt;=35,"Pass","Fail")</f>
        <v>Pass</v>
      </c>
    </row>
    <row r="253" spans="1:11" x14ac:dyDescent="0.3">
      <c r="A253" t="s">
        <v>363</v>
      </c>
      <c r="B253" t="s">
        <v>21</v>
      </c>
      <c r="C253" t="s">
        <v>11</v>
      </c>
      <c r="D253">
        <v>12</v>
      </c>
      <c r="E253" t="s">
        <v>12</v>
      </c>
      <c r="F253" t="s">
        <v>43</v>
      </c>
      <c r="G253">
        <v>65</v>
      </c>
      <c r="H253">
        <v>87</v>
      </c>
      <c r="I253" t="s">
        <v>49</v>
      </c>
      <c r="J253" t="str">
        <f>IF(Student_Data[[#This Row],[Marks]] &gt;= 90,"A+",IF(Student_Data[[#This Row],[Marks]]&gt;=80,"A",IF(Student_Data[[#This Row],[Marks]]&gt;=70,"B",IF(Student_Data[[#This Row],[Marks]]&gt;=60,"C","F"))))</f>
        <v>C</v>
      </c>
      <c r="K253" t="str">
        <f>IF(Student_Data[[#This Row],[Marks]]&gt;=35,"Pass","Fail")</f>
        <v>Pass</v>
      </c>
    </row>
    <row r="254" spans="1:11" x14ac:dyDescent="0.3">
      <c r="A254" t="s">
        <v>364</v>
      </c>
      <c r="B254" t="s">
        <v>121</v>
      </c>
      <c r="C254" t="s">
        <v>11</v>
      </c>
      <c r="D254">
        <v>8</v>
      </c>
      <c r="E254" t="s">
        <v>33</v>
      </c>
      <c r="F254" t="s">
        <v>22</v>
      </c>
      <c r="G254">
        <v>48</v>
      </c>
      <c r="H254">
        <v>64</v>
      </c>
      <c r="I254" t="s">
        <v>35</v>
      </c>
      <c r="J254" t="str">
        <f>IF(Student_Data[[#This Row],[Marks]] &gt;= 90,"A+",IF(Student_Data[[#This Row],[Marks]]&gt;=80,"A",IF(Student_Data[[#This Row],[Marks]]&gt;=70,"B",IF(Student_Data[[#This Row],[Marks]]&gt;=60,"C","F"))))</f>
        <v>F</v>
      </c>
      <c r="K254" t="str">
        <f>IF(Student_Data[[#This Row],[Marks]]&gt;=35,"Pass","Fail")</f>
        <v>Pass</v>
      </c>
    </row>
    <row r="255" spans="1:11" x14ac:dyDescent="0.3">
      <c r="A255" t="s">
        <v>365</v>
      </c>
      <c r="B255" t="s">
        <v>132</v>
      </c>
      <c r="C255" t="s">
        <v>25</v>
      </c>
      <c r="D255">
        <v>7</v>
      </c>
      <c r="E255" t="s">
        <v>12</v>
      </c>
      <c r="F255" t="s">
        <v>18</v>
      </c>
      <c r="G255">
        <v>86</v>
      </c>
      <c r="H255">
        <v>95</v>
      </c>
      <c r="I255" t="s">
        <v>14</v>
      </c>
      <c r="J255" t="str">
        <f>IF(Student_Data[[#This Row],[Marks]] &gt;= 90,"A+",IF(Student_Data[[#This Row],[Marks]]&gt;=80,"A",IF(Student_Data[[#This Row],[Marks]]&gt;=70,"B",IF(Student_Data[[#This Row],[Marks]]&gt;=60,"C","F"))))</f>
        <v>A</v>
      </c>
      <c r="K255" t="str">
        <f>IF(Student_Data[[#This Row],[Marks]]&gt;=35,"Pass","Fail")</f>
        <v>Pass</v>
      </c>
    </row>
    <row r="256" spans="1:11" x14ac:dyDescent="0.3">
      <c r="A256" t="s">
        <v>366</v>
      </c>
      <c r="B256" t="s">
        <v>30</v>
      </c>
      <c r="C256" t="s">
        <v>25</v>
      </c>
      <c r="D256">
        <v>12</v>
      </c>
      <c r="E256" t="s">
        <v>12</v>
      </c>
      <c r="F256" t="s">
        <v>43</v>
      </c>
      <c r="G256">
        <v>85</v>
      </c>
      <c r="H256">
        <v>80</v>
      </c>
      <c r="I256" t="s">
        <v>49</v>
      </c>
      <c r="J256" t="str">
        <f>IF(Student_Data[[#This Row],[Marks]] &gt;= 90,"A+",IF(Student_Data[[#This Row],[Marks]]&gt;=80,"A",IF(Student_Data[[#This Row],[Marks]]&gt;=70,"B",IF(Student_Data[[#This Row],[Marks]]&gt;=60,"C","F"))))</f>
        <v>A</v>
      </c>
      <c r="K256" t="str">
        <f>IF(Student_Data[[#This Row],[Marks]]&gt;=35,"Pass","Fail")</f>
        <v>Pass</v>
      </c>
    </row>
    <row r="257" spans="1:11" x14ac:dyDescent="0.3">
      <c r="A257" t="s">
        <v>367</v>
      </c>
      <c r="B257" t="s">
        <v>21</v>
      </c>
      <c r="C257" t="s">
        <v>11</v>
      </c>
      <c r="D257">
        <v>7</v>
      </c>
      <c r="E257" t="s">
        <v>33</v>
      </c>
      <c r="F257" t="s">
        <v>22</v>
      </c>
      <c r="G257">
        <v>88</v>
      </c>
      <c r="H257">
        <v>82</v>
      </c>
      <c r="I257" t="s">
        <v>40</v>
      </c>
      <c r="J257" t="str">
        <f>IF(Student_Data[[#This Row],[Marks]] &gt;= 90,"A+",IF(Student_Data[[#This Row],[Marks]]&gt;=80,"A",IF(Student_Data[[#This Row],[Marks]]&gt;=70,"B",IF(Student_Data[[#This Row],[Marks]]&gt;=60,"C","F"))))</f>
        <v>A</v>
      </c>
      <c r="K257" t="str">
        <f>IF(Student_Data[[#This Row],[Marks]]&gt;=35,"Pass","Fail")</f>
        <v>Pass</v>
      </c>
    </row>
    <row r="258" spans="1:11" x14ac:dyDescent="0.3">
      <c r="A258" t="s">
        <v>368</v>
      </c>
      <c r="B258" t="s">
        <v>232</v>
      </c>
      <c r="C258" t="s">
        <v>11</v>
      </c>
      <c r="D258">
        <v>6</v>
      </c>
      <c r="E258" t="s">
        <v>12</v>
      </c>
      <c r="F258" t="s">
        <v>43</v>
      </c>
      <c r="G258">
        <v>89</v>
      </c>
      <c r="H258">
        <v>92</v>
      </c>
      <c r="I258" t="s">
        <v>31</v>
      </c>
      <c r="J258" t="str">
        <f>IF(Student_Data[[#This Row],[Marks]] &gt;= 90,"A+",IF(Student_Data[[#This Row],[Marks]]&gt;=80,"A",IF(Student_Data[[#This Row],[Marks]]&gt;=70,"B",IF(Student_Data[[#This Row],[Marks]]&gt;=60,"C","F"))))</f>
        <v>A</v>
      </c>
      <c r="K258" t="str">
        <f>IF(Student_Data[[#This Row],[Marks]]&gt;=35,"Pass","Fail")</f>
        <v>Pass</v>
      </c>
    </row>
    <row r="259" spans="1:11" x14ac:dyDescent="0.3">
      <c r="A259" t="s">
        <v>369</v>
      </c>
      <c r="B259" t="s">
        <v>370</v>
      </c>
      <c r="C259" t="s">
        <v>25</v>
      </c>
      <c r="D259">
        <v>12</v>
      </c>
      <c r="E259" t="s">
        <v>33</v>
      </c>
      <c r="F259" t="s">
        <v>18</v>
      </c>
      <c r="G259">
        <v>81</v>
      </c>
      <c r="H259">
        <v>69</v>
      </c>
      <c r="I259" t="s">
        <v>19</v>
      </c>
      <c r="J259" t="str">
        <f>IF(Student_Data[[#This Row],[Marks]] &gt;= 90,"A+",IF(Student_Data[[#This Row],[Marks]]&gt;=80,"A",IF(Student_Data[[#This Row],[Marks]]&gt;=70,"B",IF(Student_Data[[#This Row],[Marks]]&gt;=60,"C","F"))))</f>
        <v>A</v>
      </c>
      <c r="K259" t="str">
        <f>IF(Student_Data[[#This Row],[Marks]]&gt;=35,"Pass","Fail")</f>
        <v>Pass</v>
      </c>
    </row>
    <row r="260" spans="1:11" x14ac:dyDescent="0.3">
      <c r="A260" t="s">
        <v>371</v>
      </c>
      <c r="B260" t="s">
        <v>121</v>
      </c>
      <c r="C260" t="s">
        <v>25</v>
      </c>
      <c r="D260">
        <v>6</v>
      </c>
      <c r="E260" t="s">
        <v>17</v>
      </c>
      <c r="F260" t="s">
        <v>13</v>
      </c>
      <c r="G260">
        <v>55</v>
      </c>
      <c r="H260">
        <v>99</v>
      </c>
      <c r="I260" t="s">
        <v>49</v>
      </c>
      <c r="J260" t="str">
        <f>IF(Student_Data[[#This Row],[Marks]] &gt;= 90,"A+",IF(Student_Data[[#This Row],[Marks]]&gt;=80,"A",IF(Student_Data[[#This Row],[Marks]]&gt;=70,"B",IF(Student_Data[[#This Row],[Marks]]&gt;=60,"C","F"))))</f>
        <v>F</v>
      </c>
      <c r="K260" t="str">
        <f>IF(Student_Data[[#This Row],[Marks]]&gt;=35,"Pass","Fail")</f>
        <v>Pass</v>
      </c>
    </row>
    <row r="261" spans="1:11" x14ac:dyDescent="0.3">
      <c r="A261" t="s">
        <v>372</v>
      </c>
      <c r="B261" t="s">
        <v>102</v>
      </c>
      <c r="C261" t="s">
        <v>11</v>
      </c>
      <c r="D261">
        <v>7</v>
      </c>
      <c r="E261" t="s">
        <v>12</v>
      </c>
      <c r="F261" t="s">
        <v>43</v>
      </c>
      <c r="G261">
        <v>50</v>
      </c>
      <c r="H261">
        <v>95</v>
      </c>
      <c r="I261" t="s">
        <v>46</v>
      </c>
      <c r="J261" t="str">
        <f>IF(Student_Data[[#This Row],[Marks]] &gt;= 90,"A+",IF(Student_Data[[#This Row],[Marks]]&gt;=80,"A",IF(Student_Data[[#This Row],[Marks]]&gt;=70,"B",IF(Student_Data[[#This Row],[Marks]]&gt;=60,"C","F"))))</f>
        <v>F</v>
      </c>
      <c r="K261" t="str">
        <f>IF(Student_Data[[#This Row],[Marks]]&gt;=35,"Pass","Fail")</f>
        <v>Pass</v>
      </c>
    </row>
    <row r="262" spans="1:11" x14ac:dyDescent="0.3">
      <c r="A262" t="s">
        <v>373</v>
      </c>
      <c r="B262" t="s">
        <v>114</v>
      </c>
      <c r="C262" t="s">
        <v>25</v>
      </c>
      <c r="D262">
        <v>7</v>
      </c>
      <c r="E262" t="s">
        <v>33</v>
      </c>
      <c r="F262" t="s">
        <v>34</v>
      </c>
      <c r="G262">
        <v>67</v>
      </c>
      <c r="H262">
        <v>77</v>
      </c>
      <c r="I262" t="s">
        <v>49</v>
      </c>
      <c r="J262" t="str">
        <f>IF(Student_Data[[#This Row],[Marks]] &gt;= 90,"A+",IF(Student_Data[[#This Row],[Marks]]&gt;=80,"A",IF(Student_Data[[#This Row],[Marks]]&gt;=70,"B",IF(Student_Data[[#This Row],[Marks]]&gt;=60,"C","F"))))</f>
        <v>C</v>
      </c>
      <c r="K262" t="str">
        <f>IF(Student_Data[[#This Row],[Marks]]&gt;=35,"Pass","Fail")</f>
        <v>Pass</v>
      </c>
    </row>
    <row r="263" spans="1:11" x14ac:dyDescent="0.3">
      <c r="A263" t="s">
        <v>374</v>
      </c>
      <c r="B263" t="s">
        <v>179</v>
      </c>
      <c r="C263" t="s">
        <v>11</v>
      </c>
      <c r="D263">
        <v>6</v>
      </c>
      <c r="E263" t="s">
        <v>17</v>
      </c>
      <c r="F263" t="s">
        <v>22</v>
      </c>
      <c r="G263">
        <v>85</v>
      </c>
      <c r="H263">
        <v>68</v>
      </c>
      <c r="I263" t="s">
        <v>40</v>
      </c>
      <c r="J263" t="str">
        <f>IF(Student_Data[[#This Row],[Marks]] &gt;= 90,"A+",IF(Student_Data[[#This Row],[Marks]]&gt;=80,"A",IF(Student_Data[[#This Row],[Marks]]&gt;=70,"B",IF(Student_Data[[#This Row],[Marks]]&gt;=60,"C","F"))))</f>
        <v>A</v>
      </c>
      <c r="K263" t="str">
        <f>IF(Student_Data[[#This Row],[Marks]]&gt;=35,"Pass","Fail")</f>
        <v>Pass</v>
      </c>
    </row>
    <row r="264" spans="1:11" x14ac:dyDescent="0.3">
      <c r="A264" t="s">
        <v>375</v>
      </c>
      <c r="B264" t="s">
        <v>94</v>
      </c>
      <c r="C264" t="s">
        <v>25</v>
      </c>
      <c r="D264">
        <v>7</v>
      </c>
      <c r="E264" t="s">
        <v>33</v>
      </c>
      <c r="F264" t="s">
        <v>18</v>
      </c>
      <c r="G264">
        <v>84</v>
      </c>
      <c r="H264">
        <v>86</v>
      </c>
      <c r="I264" t="s">
        <v>40</v>
      </c>
      <c r="J264" t="str">
        <f>IF(Student_Data[[#This Row],[Marks]] &gt;= 90,"A+",IF(Student_Data[[#This Row],[Marks]]&gt;=80,"A",IF(Student_Data[[#This Row],[Marks]]&gt;=70,"B",IF(Student_Data[[#This Row],[Marks]]&gt;=60,"C","F"))))</f>
        <v>A</v>
      </c>
      <c r="K264" t="str">
        <f>IF(Student_Data[[#This Row],[Marks]]&gt;=35,"Pass","Fail")</f>
        <v>Pass</v>
      </c>
    </row>
    <row r="265" spans="1:11" x14ac:dyDescent="0.3">
      <c r="A265" t="s">
        <v>376</v>
      </c>
      <c r="B265" t="s">
        <v>147</v>
      </c>
      <c r="C265" t="s">
        <v>25</v>
      </c>
      <c r="D265">
        <v>9</v>
      </c>
      <c r="E265" t="s">
        <v>33</v>
      </c>
      <c r="F265" t="s">
        <v>26</v>
      </c>
      <c r="G265">
        <v>59</v>
      </c>
      <c r="H265">
        <v>73</v>
      </c>
      <c r="I265" t="s">
        <v>40</v>
      </c>
      <c r="J265" t="str">
        <f>IF(Student_Data[[#This Row],[Marks]] &gt;= 90,"A+",IF(Student_Data[[#This Row],[Marks]]&gt;=80,"A",IF(Student_Data[[#This Row],[Marks]]&gt;=70,"B",IF(Student_Data[[#This Row],[Marks]]&gt;=60,"C","F"))))</f>
        <v>F</v>
      </c>
      <c r="K265" t="str">
        <f>IF(Student_Data[[#This Row],[Marks]]&gt;=35,"Pass","Fail")</f>
        <v>Pass</v>
      </c>
    </row>
    <row r="266" spans="1:11" x14ac:dyDescent="0.3">
      <c r="A266" t="s">
        <v>377</v>
      </c>
      <c r="B266" t="s">
        <v>121</v>
      </c>
      <c r="C266" t="s">
        <v>25</v>
      </c>
      <c r="D266">
        <v>7</v>
      </c>
      <c r="E266" t="s">
        <v>33</v>
      </c>
      <c r="F266" t="s">
        <v>43</v>
      </c>
      <c r="G266">
        <v>70</v>
      </c>
      <c r="H266">
        <v>75</v>
      </c>
      <c r="I266" t="s">
        <v>35</v>
      </c>
      <c r="J266" t="str">
        <f>IF(Student_Data[[#This Row],[Marks]] &gt;= 90,"A+",IF(Student_Data[[#This Row],[Marks]]&gt;=80,"A",IF(Student_Data[[#This Row],[Marks]]&gt;=70,"B",IF(Student_Data[[#This Row],[Marks]]&gt;=60,"C","F"))))</f>
        <v>B</v>
      </c>
      <c r="K266" t="str">
        <f>IF(Student_Data[[#This Row],[Marks]]&gt;=35,"Pass","Fail")</f>
        <v>Pass</v>
      </c>
    </row>
    <row r="267" spans="1:11" x14ac:dyDescent="0.3">
      <c r="A267" t="s">
        <v>378</v>
      </c>
      <c r="B267" t="s">
        <v>182</v>
      </c>
      <c r="C267" t="s">
        <v>11</v>
      </c>
      <c r="D267">
        <v>11</v>
      </c>
      <c r="E267" t="s">
        <v>12</v>
      </c>
      <c r="F267" t="s">
        <v>34</v>
      </c>
      <c r="G267">
        <v>60</v>
      </c>
      <c r="H267">
        <v>96</v>
      </c>
      <c r="I267" t="s">
        <v>40</v>
      </c>
      <c r="J267" t="str">
        <f>IF(Student_Data[[#This Row],[Marks]] &gt;= 90,"A+",IF(Student_Data[[#This Row],[Marks]]&gt;=80,"A",IF(Student_Data[[#This Row],[Marks]]&gt;=70,"B",IF(Student_Data[[#This Row],[Marks]]&gt;=60,"C","F"))))</f>
        <v>C</v>
      </c>
      <c r="K267" t="str">
        <f>IF(Student_Data[[#This Row],[Marks]]&gt;=35,"Pass","Fail")</f>
        <v>Pass</v>
      </c>
    </row>
    <row r="268" spans="1:11" x14ac:dyDescent="0.3">
      <c r="A268" t="s">
        <v>379</v>
      </c>
      <c r="B268" t="s">
        <v>380</v>
      </c>
      <c r="C268" t="s">
        <v>25</v>
      </c>
      <c r="D268">
        <v>7</v>
      </c>
      <c r="E268" t="s">
        <v>17</v>
      </c>
      <c r="F268" t="s">
        <v>22</v>
      </c>
      <c r="G268">
        <v>98</v>
      </c>
      <c r="H268">
        <v>97</v>
      </c>
      <c r="I268" t="s">
        <v>46</v>
      </c>
      <c r="J268" t="str">
        <f>IF(Student_Data[[#This Row],[Marks]] &gt;= 90,"A+",IF(Student_Data[[#This Row],[Marks]]&gt;=80,"A",IF(Student_Data[[#This Row],[Marks]]&gt;=70,"B",IF(Student_Data[[#This Row],[Marks]]&gt;=60,"C","F"))))</f>
        <v>A+</v>
      </c>
      <c r="K268" t="str">
        <f>IF(Student_Data[[#This Row],[Marks]]&gt;=35,"Pass","Fail")</f>
        <v>Pass</v>
      </c>
    </row>
    <row r="269" spans="1:11" x14ac:dyDescent="0.3">
      <c r="A269" t="s">
        <v>381</v>
      </c>
      <c r="B269" t="s">
        <v>182</v>
      </c>
      <c r="C269" t="s">
        <v>11</v>
      </c>
      <c r="D269">
        <v>9</v>
      </c>
      <c r="E269" t="s">
        <v>17</v>
      </c>
      <c r="F269" t="s">
        <v>18</v>
      </c>
      <c r="G269">
        <v>97</v>
      </c>
      <c r="H269">
        <v>67</v>
      </c>
      <c r="I269" t="s">
        <v>14</v>
      </c>
      <c r="J269" t="str">
        <f>IF(Student_Data[[#This Row],[Marks]] &gt;= 90,"A+",IF(Student_Data[[#This Row],[Marks]]&gt;=80,"A",IF(Student_Data[[#This Row],[Marks]]&gt;=70,"B",IF(Student_Data[[#This Row],[Marks]]&gt;=60,"C","F"))))</f>
        <v>A+</v>
      </c>
      <c r="K269" t="str">
        <f>IF(Student_Data[[#This Row],[Marks]]&gt;=35,"Pass","Fail")</f>
        <v>Pass</v>
      </c>
    </row>
    <row r="270" spans="1:11" x14ac:dyDescent="0.3">
      <c r="A270" t="s">
        <v>382</v>
      </c>
      <c r="B270" t="s">
        <v>383</v>
      </c>
      <c r="C270" t="s">
        <v>11</v>
      </c>
      <c r="D270">
        <v>10</v>
      </c>
      <c r="E270" t="s">
        <v>17</v>
      </c>
      <c r="F270" t="s">
        <v>13</v>
      </c>
      <c r="G270">
        <v>52</v>
      </c>
      <c r="H270">
        <v>100</v>
      </c>
      <c r="I270" t="s">
        <v>14</v>
      </c>
      <c r="J270" t="str">
        <f>IF(Student_Data[[#This Row],[Marks]] &gt;= 90,"A+",IF(Student_Data[[#This Row],[Marks]]&gt;=80,"A",IF(Student_Data[[#This Row],[Marks]]&gt;=70,"B",IF(Student_Data[[#This Row],[Marks]]&gt;=60,"C","F"))))</f>
        <v>F</v>
      </c>
      <c r="K270" t="str">
        <f>IF(Student_Data[[#This Row],[Marks]]&gt;=35,"Pass","Fail")</f>
        <v>Pass</v>
      </c>
    </row>
    <row r="271" spans="1:11" x14ac:dyDescent="0.3">
      <c r="A271" t="s">
        <v>384</v>
      </c>
      <c r="B271" t="s">
        <v>264</v>
      </c>
      <c r="C271" t="s">
        <v>25</v>
      </c>
      <c r="D271">
        <v>9</v>
      </c>
      <c r="E271" t="s">
        <v>33</v>
      </c>
      <c r="F271" t="s">
        <v>22</v>
      </c>
      <c r="G271">
        <v>77</v>
      </c>
      <c r="H271">
        <v>91</v>
      </c>
      <c r="I271" t="s">
        <v>31</v>
      </c>
      <c r="J271" t="str">
        <f>IF(Student_Data[[#This Row],[Marks]] &gt;= 90,"A+",IF(Student_Data[[#This Row],[Marks]]&gt;=80,"A",IF(Student_Data[[#This Row],[Marks]]&gt;=70,"B",IF(Student_Data[[#This Row],[Marks]]&gt;=60,"C","F"))))</f>
        <v>B</v>
      </c>
      <c r="K271" t="str">
        <f>IF(Student_Data[[#This Row],[Marks]]&gt;=35,"Pass","Fail")</f>
        <v>Pass</v>
      </c>
    </row>
    <row r="272" spans="1:11" x14ac:dyDescent="0.3">
      <c r="A272" t="s">
        <v>385</v>
      </c>
      <c r="B272" t="s">
        <v>63</v>
      </c>
      <c r="C272" t="s">
        <v>11</v>
      </c>
      <c r="D272">
        <v>11</v>
      </c>
      <c r="E272" t="s">
        <v>12</v>
      </c>
      <c r="F272" t="s">
        <v>22</v>
      </c>
      <c r="G272">
        <v>97</v>
      </c>
      <c r="H272">
        <v>86</v>
      </c>
      <c r="I272" t="s">
        <v>35</v>
      </c>
      <c r="J272" t="str">
        <f>IF(Student_Data[[#This Row],[Marks]] &gt;= 90,"A+",IF(Student_Data[[#This Row],[Marks]]&gt;=80,"A",IF(Student_Data[[#This Row],[Marks]]&gt;=70,"B",IF(Student_Data[[#This Row],[Marks]]&gt;=60,"C","F"))))</f>
        <v>A+</v>
      </c>
      <c r="K272" t="str">
        <f>IF(Student_Data[[#This Row],[Marks]]&gt;=35,"Pass","Fail")</f>
        <v>Pass</v>
      </c>
    </row>
    <row r="273" spans="1:11" x14ac:dyDescent="0.3">
      <c r="A273" t="s">
        <v>386</v>
      </c>
      <c r="B273" t="s">
        <v>151</v>
      </c>
      <c r="C273" t="s">
        <v>25</v>
      </c>
      <c r="D273">
        <v>9</v>
      </c>
      <c r="E273" t="s">
        <v>12</v>
      </c>
      <c r="F273" t="s">
        <v>26</v>
      </c>
      <c r="G273">
        <v>91</v>
      </c>
      <c r="H273">
        <v>90</v>
      </c>
      <c r="I273" t="s">
        <v>31</v>
      </c>
      <c r="J273" t="str">
        <f>IF(Student_Data[[#This Row],[Marks]] &gt;= 90,"A+",IF(Student_Data[[#This Row],[Marks]]&gt;=80,"A",IF(Student_Data[[#This Row],[Marks]]&gt;=70,"B",IF(Student_Data[[#This Row],[Marks]]&gt;=60,"C","F"))))</f>
        <v>A+</v>
      </c>
      <c r="K273" t="str">
        <f>IF(Student_Data[[#This Row],[Marks]]&gt;=35,"Pass","Fail")</f>
        <v>Pass</v>
      </c>
    </row>
    <row r="274" spans="1:11" x14ac:dyDescent="0.3">
      <c r="A274" t="s">
        <v>387</v>
      </c>
      <c r="B274" t="s">
        <v>39</v>
      </c>
      <c r="C274" t="s">
        <v>25</v>
      </c>
      <c r="D274">
        <v>11</v>
      </c>
      <c r="E274" t="s">
        <v>17</v>
      </c>
      <c r="F274" t="s">
        <v>18</v>
      </c>
      <c r="G274">
        <v>80</v>
      </c>
      <c r="H274">
        <v>77</v>
      </c>
      <c r="I274" t="s">
        <v>35</v>
      </c>
      <c r="J274" t="str">
        <f>IF(Student_Data[[#This Row],[Marks]] &gt;= 90,"A+",IF(Student_Data[[#This Row],[Marks]]&gt;=80,"A",IF(Student_Data[[#This Row],[Marks]]&gt;=70,"B",IF(Student_Data[[#This Row],[Marks]]&gt;=60,"C","F"))))</f>
        <v>A</v>
      </c>
      <c r="K274" t="str">
        <f>IF(Student_Data[[#This Row],[Marks]]&gt;=35,"Pass","Fail")</f>
        <v>Pass</v>
      </c>
    </row>
    <row r="275" spans="1:11" x14ac:dyDescent="0.3">
      <c r="A275" t="s">
        <v>388</v>
      </c>
      <c r="B275" t="s">
        <v>77</v>
      </c>
      <c r="C275" t="s">
        <v>11</v>
      </c>
      <c r="D275">
        <v>9</v>
      </c>
      <c r="E275" t="s">
        <v>33</v>
      </c>
      <c r="F275" t="s">
        <v>26</v>
      </c>
      <c r="G275">
        <v>56</v>
      </c>
      <c r="H275">
        <v>84</v>
      </c>
      <c r="I275" t="s">
        <v>40</v>
      </c>
      <c r="J275" t="str">
        <f>IF(Student_Data[[#This Row],[Marks]] &gt;= 90,"A+",IF(Student_Data[[#This Row],[Marks]]&gt;=80,"A",IF(Student_Data[[#This Row],[Marks]]&gt;=70,"B",IF(Student_Data[[#This Row],[Marks]]&gt;=60,"C","F"))))</f>
        <v>F</v>
      </c>
      <c r="K275" t="str">
        <f>IF(Student_Data[[#This Row],[Marks]]&gt;=35,"Pass","Fail")</f>
        <v>Pass</v>
      </c>
    </row>
    <row r="276" spans="1:11" x14ac:dyDescent="0.3">
      <c r="A276" t="s">
        <v>389</v>
      </c>
      <c r="B276" t="s">
        <v>104</v>
      </c>
      <c r="C276" t="s">
        <v>11</v>
      </c>
      <c r="D276">
        <v>6</v>
      </c>
      <c r="E276" t="s">
        <v>12</v>
      </c>
      <c r="F276" t="s">
        <v>34</v>
      </c>
      <c r="G276">
        <v>47</v>
      </c>
      <c r="H276">
        <v>90</v>
      </c>
      <c r="I276" t="s">
        <v>14</v>
      </c>
      <c r="J276" t="str">
        <f>IF(Student_Data[[#This Row],[Marks]] &gt;= 90,"A+",IF(Student_Data[[#This Row],[Marks]]&gt;=80,"A",IF(Student_Data[[#This Row],[Marks]]&gt;=70,"B",IF(Student_Data[[#This Row],[Marks]]&gt;=60,"C","F"))))</f>
        <v>F</v>
      </c>
      <c r="K276" t="str">
        <f>IF(Student_Data[[#This Row],[Marks]]&gt;=35,"Pass","Fail")</f>
        <v>Pass</v>
      </c>
    </row>
    <row r="277" spans="1:11" x14ac:dyDescent="0.3">
      <c r="A277" t="s">
        <v>390</v>
      </c>
      <c r="B277" t="s">
        <v>21</v>
      </c>
      <c r="C277" t="s">
        <v>11</v>
      </c>
      <c r="D277">
        <v>11</v>
      </c>
      <c r="E277" t="s">
        <v>12</v>
      </c>
      <c r="F277" t="s">
        <v>26</v>
      </c>
      <c r="G277">
        <v>57</v>
      </c>
      <c r="H277">
        <v>85</v>
      </c>
      <c r="I277" t="s">
        <v>35</v>
      </c>
      <c r="J277" t="str">
        <f>IF(Student_Data[[#This Row],[Marks]] &gt;= 90,"A+",IF(Student_Data[[#This Row],[Marks]]&gt;=80,"A",IF(Student_Data[[#This Row],[Marks]]&gt;=70,"B",IF(Student_Data[[#This Row],[Marks]]&gt;=60,"C","F"))))</f>
        <v>F</v>
      </c>
      <c r="K277" t="str">
        <f>IF(Student_Data[[#This Row],[Marks]]&gt;=35,"Pass","Fail")</f>
        <v>Pass</v>
      </c>
    </row>
    <row r="278" spans="1:11" x14ac:dyDescent="0.3">
      <c r="A278" t="s">
        <v>391</v>
      </c>
      <c r="B278" t="s">
        <v>164</v>
      </c>
      <c r="C278" t="s">
        <v>25</v>
      </c>
      <c r="D278">
        <v>7</v>
      </c>
      <c r="E278" t="s">
        <v>12</v>
      </c>
      <c r="F278" t="s">
        <v>18</v>
      </c>
      <c r="G278">
        <v>81</v>
      </c>
      <c r="H278">
        <v>76</v>
      </c>
      <c r="I278" t="s">
        <v>19</v>
      </c>
      <c r="J278" t="str">
        <f>IF(Student_Data[[#This Row],[Marks]] &gt;= 90,"A+",IF(Student_Data[[#This Row],[Marks]]&gt;=80,"A",IF(Student_Data[[#This Row],[Marks]]&gt;=70,"B",IF(Student_Data[[#This Row],[Marks]]&gt;=60,"C","F"))))</f>
        <v>A</v>
      </c>
      <c r="K278" t="str">
        <f>IF(Student_Data[[#This Row],[Marks]]&gt;=35,"Pass","Fail")</f>
        <v>Pass</v>
      </c>
    </row>
    <row r="279" spans="1:11" x14ac:dyDescent="0.3">
      <c r="A279" t="s">
        <v>392</v>
      </c>
      <c r="B279" t="s">
        <v>380</v>
      </c>
      <c r="C279" t="s">
        <v>11</v>
      </c>
      <c r="D279">
        <v>12</v>
      </c>
      <c r="E279" t="s">
        <v>33</v>
      </c>
      <c r="F279" t="s">
        <v>18</v>
      </c>
      <c r="G279">
        <v>100</v>
      </c>
      <c r="H279">
        <v>93</v>
      </c>
      <c r="I279" t="s">
        <v>35</v>
      </c>
      <c r="J279" t="str">
        <f>IF(Student_Data[[#This Row],[Marks]] &gt;= 90,"A+",IF(Student_Data[[#This Row],[Marks]]&gt;=80,"A",IF(Student_Data[[#This Row],[Marks]]&gt;=70,"B",IF(Student_Data[[#This Row],[Marks]]&gt;=60,"C","F"))))</f>
        <v>A+</v>
      </c>
      <c r="K279" t="str">
        <f>IF(Student_Data[[#This Row],[Marks]]&gt;=35,"Pass","Fail")</f>
        <v>Pass</v>
      </c>
    </row>
    <row r="280" spans="1:11" x14ac:dyDescent="0.3">
      <c r="A280" t="s">
        <v>393</v>
      </c>
      <c r="B280" t="s">
        <v>51</v>
      </c>
      <c r="C280" t="s">
        <v>25</v>
      </c>
      <c r="D280">
        <v>9</v>
      </c>
      <c r="E280" t="s">
        <v>12</v>
      </c>
      <c r="F280" t="s">
        <v>26</v>
      </c>
      <c r="G280">
        <v>74</v>
      </c>
      <c r="H280">
        <v>83</v>
      </c>
      <c r="I280" t="s">
        <v>46</v>
      </c>
      <c r="J280" t="str">
        <f>IF(Student_Data[[#This Row],[Marks]] &gt;= 90,"A+",IF(Student_Data[[#This Row],[Marks]]&gt;=80,"A",IF(Student_Data[[#This Row],[Marks]]&gt;=70,"B",IF(Student_Data[[#This Row],[Marks]]&gt;=60,"C","F"))))</f>
        <v>B</v>
      </c>
      <c r="K280" t="str">
        <f>IF(Student_Data[[#This Row],[Marks]]&gt;=35,"Pass","Fail")</f>
        <v>Pass</v>
      </c>
    </row>
    <row r="281" spans="1:11" x14ac:dyDescent="0.3">
      <c r="A281" t="s">
        <v>394</v>
      </c>
      <c r="B281" t="s">
        <v>395</v>
      </c>
      <c r="C281" t="s">
        <v>25</v>
      </c>
      <c r="D281">
        <v>6</v>
      </c>
      <c r="E281" t="s">
        <v>33</v>
      </c>
      <c r="F281" t="s">
        <v>13</v>
      </c>
      <c r="G281">
        <v>64</v>
      </c>
      <c r="H281">
        <v>60</v>
      </c>
      <c r="I281" t="s">
        <v>49</v>
      </c>
      <c r="J281" t="str">
        <f>IF(Student_Data[[#This Row],[Marks]] &gt;= 90,"A+",IF(Student_Data[[#This Row],[Marks]]&gt;=80,"A",IF(Student_Data[[#This Row],[Marks]]&gt;=70,"B",IF(Student_Data[[#This Row],[Marks]]&gt;=60,"C","F"))))</f>
        <v>C</v>
      </c>
      <c r="K281" t="str">
        <f>IF(Student_Data[[#This Row],[Marks]]&gt;=35,"Pass","Fail")</f>
        <v>Pass</v>
      </c>
    </row>
    <row r="282" spans="1:11" x14ac:dyDescent="0.3">
      <c r="A282" t="s">
        <v>396</v>
      </c>
      <c r="B282" t="s">
        <v>28</v>
      </c>
      <c r="C282" t="s">
        <v>25</v>
      </c>
      <c r="D282">
        <v>6</v>
      </c>
      <c r="E282" t="s">
        <v>33</v>
      </c>
      <c r="F282" t="s">
        <v>18</v>
      </c>
      <c r="G282">
        <v>39</v>
      </c>
      <c r="H282">
        <v>66</v>
      </c>
      <c r="I282" t="s">
        <v>40</v>
      </c>
      <c r="J282" t="str">
        <f>IF(Student_Data[[#This Row],[Marks]] &gt;= 90,"A+",IF(Student_Data[[#This Row],[Marks]]&gt;=80,"A",IF(Student_Data[[#This Row],[Marks]]&gt;=70,"B",IF(Student_Data[[#This Row],[Marks]]&gt;=60,"C","F"))))</f>
        <v>F</v>
      </c>
      <c r="K282" t="str">
        <f>IF(Student_Data[[#This Row],[Marks]]&gt;=35,"Pass","Fail")</f>
        <v>Pass</v>
      </c>
    </row>
    <row r="283" spans="1:11" x14ac:dyDescent="0.3">
      <c r="A283" t="s">
        <v>397</v>
      </c>
      <c r="B283" t="s">
        <v>230</v>
      </c>
      <c r="C283" t="s">
        <v>25</v>
      </c>
      <c r="D283">
        <v>7</v>
      </c>
      <c r="E283" t="s">
        <v>12</v>
      </c>
      <c r="F283" t="s">
        <v>13</v>
      </c>
      <c r="G283">
        <v>41</v>
      </c>
      <c r="H283">
        <v>61</v>
      </c>
      <c r="I283" t="s">
        <v>35</v>
      </c>
      <c r="J283" t="str">
        <f>IF(Student_Data[[#This Row],[Marks]] &gt;= 90,"A+",IF(Student_Data[[#This Row],[Marks]]&gt;=80,"A",IF(Student_Data[[#This Row],[Marks]]&gt;=70,"B",IF(Student_Data[[#This Row],[Marks]]&gt;=60,"C","F"))))</f>
        <v>F</v>
      </c>
      <c r="K283" t="str">
        <f>IF(Student_Data[[#This Row],[Marks]]&gt;=35,"Pass","Fail")</f>
        <v>Pass</v>
      </c>
    </row>
    <row r="284" spans="1:11" x14ac:dyDescent="0.3">
      <c r="A284" t="s">
        <v>398</v>
      </c>
      <c r="B284" t="s">
        <v>100</v>
      </c>
      <c r="C284" t="s">
        <v>11</v>
      </c>
      <c r="D284">
        <v>12</v>
      </c>
      <c r="E284" t="s">
        <v>33</v>
      </c>
      <c r="F284" t="s">
        <v>26</v>
      </c>
      <c r="G284">
        <v>91</v>
      </c>
      <c r="H284">
        <v>60</v>
      </c>
      <c r="I284" t="s">
        <v>31</v>
      </c>
      <c r="J284" t="str">
        <f>IF(Student_Data[[#This Row],[Marks]] &gt;= 90,"A+",IF(Student_Data[[#This Row],[Marks]]&gt;=80,"A",IF(Student_Data[[#This Row],[Marks]]&gt;=70,"B",IF(Student_Data[[#This Row],[Marks]]&gt;=60,"C","F"))))</f>
        <v>A+</v>
      </c>
      <c r="K284" t="str">
        <f>IF(Student_Data[[#This Row],[Marks]]&gt;=35,"Pass","Fail")</f>
        <v>Pass</v>
      </c>
    </row>
    <row r="285" spans="1:11" x14ac:dyDescent="0.3">
      <c r="A285" t="s">
        <v>399</v>
      </c>
      <c r="B285" t="s">
        <v>72</v>
      </c>
      <c r="C285" t="s">
        <v>25</v>
      </c>
      <c r="D285">
        <v>6</v>
      </c>
      <c r="E285" t="s">
        <v>17</v>
      </c>
      <c r="F285" t="s">
        <v>18</v>
      </c>
      <c r="G285">
        <v>56</v>
      </c>
      <c r="H285">
        <v>87</v>
      </c>
      <c r="I285" t="s">
        <v>40</v>
      </c>
      <c r="J285" t="str">
        <f>IF(Student_Data[[#This Row],[Marks]] &gt;= 90,"A+",IF(Student_Data[[#This Row],[Marks]]&gt;=80,"A",IF(Student_Data[[#This Row],[Marks]]&gt;=70,"B",IF(Student_Data[[#This Row],[Marks]]&gt;=60,"C","F"))))</f>
        <v>F</v>
      </c>
      <c r="K285" t="str">
        <f>IF(Student_Data[[#This Row],[Marks]]&gt;=35,"Pass","Fail")</f>
        <v>Pass</v>
      </c>
    </row>
    <row r="286" spans="1:11" x14ac:dyDescent="0.3">
      <c r="A286" t="s">
        <v>400</v>
      </c>
      <c r="B286" t="s">
        <v>401</v>
      </c>
      <c r="C286" t="s">
        <v>11</v>
      </c>
      <c r="D286">
        <v>10</v>
      </c>
      <c r="E286" t="s">
        <v>17</v>
      </c>
      <c r="F286" t="s">
        <v>22</v>
      </c>
      <c r="G286">
        <v>41</v>
      </c>
      <c r="H286">
        <v>69</v>
      </c>
      <c r="I286" t="s">
        <v>19</v>
      </c>
      <c r="J286" t="str">
        <f>IF(Student_Data[[#This Row],[Marks]] &gt;= 90,"A+",IF(Student_Data[[#This Row],[Marks]]&gt;=80,"A",IF(Student_Data[[#This Row],[Marks]]&gt;=70,"B",IF(Student_Data[[#This Row],[Marks]]&gt;=60,"C","F"))))</f>
        <v>F</v>
      </c>
      <c r="K286" t="str">
        <f>IF(Student_Data[[#This Row],[Marks]]&gt;=35,"Pass","Fail")</f>
        <v>Pass</v>
      </c>
    </row>
    <row r="287" spans="1:11" x14ac:dyDescent="0.3">
      <c r="A287" t="s">
        <v>402</v>
      </c>
      <c r="B287" t="s">
        <v>198</v>
      </c>
      <c r="C287" t="s">
        <v>25</v>
      </c>
      <c r="D287">
        <v>8</v>
      </c>
      <c r="E287" t="s">
        <v>12</v>
      </c>
      <c r="F287" t="s">
        <v>34</v>
      </c>
      <c r="G287">
        <v>74</v>
      </c>
      <c r="H287">
        <v>71</v>
      </c>
      <c r="I287" t="s">
        <v>40</v>
      </c>
      <c r="J287" t="str">
        <f>IF(Student_Data[[#This Row],[Marks]] &gt;= 90,"A+",IF(Student_Data[[#This Row],[Marks]]&gt;=80,"A",IF(Student_Data[[#This Row],[Marks]]&gt;=70,"B",IF(Student_Data[[#This Row],[Marks]]&gt;=60,"C","F"))))</f>
        <v>B</v>
      </c>
      <c r="K287" t="str">
        <f>IF(Student_Data[[#This Row],[Marks]]&gt;=35,"Pass","Fail")</f>
        <v>Pass</v>
      </c>
    </row>
    <row r="288" spans="1:11" x14ac:dyDescent="0.3">
      <c r="A288" t="s">
        <v>403</v>
      </c>
      <c r="B288" t="s">
        <v>55</v>
      </c>
      <c r="C288" t="s">
        <v>11</v>
      </c>
      <c r="D288">
        <v>10</v>
      </c>
      <c r="E288" t="s">
        <v>12</v>
      </c>
      <c r="F288" t="s">
        <v>22</v>
      </c>
      <c r="G288">
        <v>97</v>
      </c>
      <c r="H288">
        <v>96</v>
      </c>
      <c r="I288" t="s">
        <v>46</v>
      </c>
      <c r="J288" t="str">
        <f>IF(Student_Data[[#This Row],[Marks]] &gt;= 90,"A+",IF(Student_Data[[#This Row],[Marks]]&gt;=80,"A",IF(Student_Data[[#This Row],[Marks]]&gt;=70,"B",IF(Student_Data[[#This Row],[Marks]]&gt;=60,"C","F"))))</f>
        <v>A+</v>
      </c>
      <c r="K288" t="str">
        <f>IF(Student_Data[[#This Row],[Marks]]&gt;=35,"Pass","Fail")</f>
        <v>Pass</v>
      </c>
    </row>
    <row r="289" spans="1:11" x14ac:dyDescent="0.3">
      <c r="A289" t="s">
        <v>404</v>
      </c>
      <c r="B289" t="s">
        <v>57</v>
      </c>
      <c r="C289" t="s">
        <v>25</v>
      </c>
      <c r="D289">
        <v>8</v>
      </c>
      <c r="E289" t="s">
        <v>17</v>
      </c>
      <c r="F289" t="s">
        <v>22</v>
      </c>
      <c r="G289">
        <v>69</v>
      </c>
      <c r="H289">
        <v>76</v>
      </c>
      <c r="I289" t="s">
        <v>49</v>
      </c>
      <c r="J289" t="str">
        <f>IF(Student_Data[[#This Row],[Marks]] &gt;= 90,"A+",IF(Student_Data[[#This Row],[Marks]]&gt;=80,"A",IF(Student_Data[[#This Row],[Marks]]&gt;=70,"B",IF(Student_Data[[#This Row],[Marks]]&gt;=60,"C","F"))))</f>
        <v>C</v>
      </c>
      <c r="K289" t="str">
        <f>IF(Student_Data[[#This Row],[Marks]]&gt;=35,"Pass","Fail")</f>
        <v>Pass</v>
      </c>
    </row>
    <row r="290" spans="1:11" x14ac:dyDescent="0.3">
      <c r="A290" t="s">
        <v>405</v>
      </c>
      <c r="B290" t="s">
        <v>370</v>
      </c>
      <c r="C290" t="s">
        <v>11</v>
      </c>
      <c r="D290">
        <v>10</v>
      </c>
      <c r="E290" t="s">
        <v>17</v>
      </c>
      <c r="F290" t="s">
        <v>43</v>
      </c>
      <c r="G290">
        <v>88</v>
      </c>
      <c r="H290">
        <v>72</v>
      </c>
      <c r="I290" t="s">
        <v>19</v>
      </c>
      <c r="J290" t="str">
        <f>IF(Student_Data[[#This Row],[Marks]] &gt;= 90,"A+",IF(Student_Data[[#This Row],[Marks]]&gt;=80,"A",IF(Student_Data[[#This Row],[Marks]]&gt;=70,"B",IF(Student_Data[[#This Row],[Marks]]&gt;=60,"C","F"))))</f>
        <v>A</v>
      </c>
      <c r="K290" t="str">
        <f>IF(Student_Data[[#This Row],[Marks]]&gt;=35,"Pass","Fail")</f>
        <v>Pass</v>
      </c>
    </row>
    <row r="291" spans="1:11" x14ac:dyDescent="0.3">
      <c r="A291" t="s">
        <v>406</v>
      </c>
      <c r="B291" t="s">
        <v>224</v>
      </c>
      <c r="C291" t="s">
        <v>11</v>
      </c>
      <c r="D291">
        <v>11</v>
      </c>
      <c r="E291" t="s">
        <v>17</v>
      </c>
      <c r="F291" t="s">
        <v>43</v>
      </c>
      <c r="G291">
        <v>85</v>
      </c>
      <c r="H291">
        <v>91</v>
      </c>
      <c r="I291" t="s">
        <v>19</v>
      </c>
      <c r="J291" t="str">
        <f>IF(Student_Data[[#This Row],[Marks]] &gt;= 90,"A+",IF(Student_Data[[#This Row],[Marks]]&gt;=80,"A",IF(Student_Data[[#This Row],[Marks]]&gt;=70,"B",IF(Student_Data[[#This Row],[Marks]]&gt;=60,"C","F"))))</f>
        <v>A</v>
      </c>
      <c r="K291" t="str">
        <f>IF(Student_Data[[#This Row],[Marks]]&gt;=35,"Pass","Fail")</f>
        <v>Pass</v>
      </c>
    </row>
    <row r="292" spans="1:11" x14ac:dyDescent="0.3">
      <c r="A292" t="s">
        <v>407</v>
      </c>
      <c r="B292" t="s">
        <v>24</v>
      </c>
      <c r="C292" t="s">
        <v>25</v>
      </c>
      <c r="D292">
        <v>7</v>
      </c>
      <c r="E292" t="s">
        <v>17</v>
      </c>
      <c r="F292" t="s">
        <v>18</v>
      </c>
      <c r="G292">
        <v>48</v>
      </c>
      <c r="H292">
        <v>72</v>
      </c>
      <c r="I292" t="s">
        <v>31</v>
      </c>
      <c r="J292" t="str">
        <f>IF(Student_Data[[#This Row],[Marks]] &gt;= 90,"A+",IF(Student_Data[[#This Row],[Marks]]&gt;=80,"A",IF(Student_Data[[#This Row],[Marks]]&gt;=70,"B",IF(Student_Data[[#This Row],[Marks]]&gt;=60,"C","F"))))</f>
        <v>F</v>
      </c>
      <c r="K292" t="str">
        <f>IF(Student_Data[[#This Row],[Marks]]&gt;=35,"Pass","Fail")</f>
        <v>Pass</v>
      </c>
    </row>
    <row r="293" spans="1:11" x14ac:dyDescent="0.3">
      <c r="A293" t="s">
        <v>408</v>
      </c>
      <c r="B293" t="s">
        <v>70</v>
      </c>
      <c r="C293" t="s">
        <v>11</v>
      </c>
      <c r="D293">
        <v>10</v>
      </c>
      <c r="E293" t="s">
        <v>17</v>
      </c>
      <c r="F293" t="s">
        <v>26</v>
      </c>
      <c r="G293">
        <v>72</v>
      </c>
      <c r="H293">
        <v>77</v>
      </c>
      <c r="I293" t="s">
        <v>19</v>
      </c>
      <c r="J293" t="str">
        <f>IF(Student_Data[[#This Row],[Marks]] &gt;= 90,"A+",IF(Student_Data[[#This Row],[Marks]]&gt;=80,"A",IF(Student_Data[[#This Row],[Marks]]&gt;=70,"B",IF(Student_Data[[#This Row],[Marks]]&gt;=60,"C","F"))))</f>
        <v>B</v>
      </c>
      <c r="K293" t="str">
        <f>IF(Student_Data[[#This Row],[Marks]]&gt;=35,"Pass","Fail")</f>
        <v>Pass</v>
      </c>
    </row>
    <row r="294" spans="1:11" x14ac:dyDescent="0.3">
      <c r="A294" t="s">
        <v>409</v>
      </c>
      <c r="B294" t="s">
        <v>168</v>
      </c>
      <c r="C294" t="s">
        <v>25</v>
      </c>
      <c r="D294">
        <v>11</v>
      </c>
      <c r="E294" t="s">
        <v>17</v>
      </c>
      <c r="F294" t="s">
        <v>13</v>
      </c>
      <c r="G294">
        <v>58</v>
      </c>
      <c r="H294">
        <v>91</v>
      </c>
      <c r="I294" t="s">
        <v>31</v>
      </c>
      <c r="J294" t="str">
        <f>IF(Student_Data[[#This Row],[Marks]] &gt;= 90,"A+",IF(Student_Data[[#This Row],[Marks]]&gt;=80,"A",IF(Student_Data[[#This Row],[Marks]]&gt;=70,"B",IF(Student_Data[[#This Row],[Marks]]&gt;=60,"C","F"))))</f>
        <v>F</v>
      </c>
      <c r="K294" t="str">
        <f>IF(Student_Data[[#This Row],[Marks]]&gt;=35,"Pass","Fail")</f>
        <v>Pass</v>
      </c>
    </row>
    <row r="295" spans="1:11" x14ac:dyDescent="0.3">
      <c r="A295" t="s">
        <v>410</v>
      </c>
      <c r="B295" t="s">
        <v>102</v>
      </c>
      <c r="C295" t="s">
        <v>11</v>
      </c>
      <c r="D295">
        <v>7</v>
      </c>
      <c r="E295" t="s">
        <v>12</v>
      </c>
      <c r="F295" t="s">
        <v>18</v>
      </c>
      <c r="G295">
        <v>78</v>
      </c>
      <c r="H295">
        <v>94</v>
      </c>
      <c r="I295" t="s">
        <v>31</v>
      </c>
      <c r="J295" t="str">
        <f>IF(Student_Data[[#This Row],[Marks]] &gt;= 90,"A+",IF(Student_Data[[#This Row],[Marks]]&gt;=80,"A",IF(Student_Data[[#This Row],[Marks]]&gt;=70,"B",IF(Student_Data[[#This Row],[Marks]]&gt;=60,"C","F"))))</f>
        <v>B</v>
      </c>
      <c r="K295" t="str">
        <f>IF(Student_Data[[#This Row],[Marks]]&gt;=35,"Pass","Fail")</f>
        <v>Pass</v>
      </c>
    </row>
    <row r="296" spans="1:11" x14ac:dyDescent="0.3">
      <c r="A296" t="s">
        <v>411</v>
      </c>
      <c r="B296" t="s">
        <v>228</v>
      </c>
      <c r="C296" t="s">
        <v>25</v>
      </c>
      <c r="D296">
        <v>8</v>
      </c>
      <c r="E296" t="s">
        <v>33</v>
      </c>
      <c r="F296" t="s">
        <v>22</v>
      </c>
      <c r="G296">
        <v>40</v>
      </c>
      <c r="H296">
        <v>68</v>
      </c>
      <c r="I296" t="s">
        <v>35</v>
      </c>
      <c r="J296" t="str">
        <f>IF(Student_Data[[#This Row],[Marks]] &gt;= 90,"A+",IF(Student_Data[[#This Row],[Marks]]&gt;=80,"A",IF(Student_Data[[#This Row],[Marks]]&gt;=70,"B",IF(Student_Data[[#This Row],[Marks]]&gt;=60,"C","F"))))</f>
        <v>F</v>
      </c>
      <c r="K296" t="str">
        <f>IF(Student_Data[[#This Row],[Marks]]&gt;=35,"Pass","Fail")</f>
        <v>Pass</v>
      </c>
    </row>
    <row r="297" spans="1:11" x14ac:dyDescent="0.3">
      <c r="A297" t="s">
        <v>412</v>
      </c>
      <c r="B297" t="s">
        <v>126</v>
      </c>
      <c r="C297" t="s">
        <v>25</v>
      </c>
      <c r="D297">
        <v>10</v>
      </c>
      <c r="E297" t="s">
        <v>33</v>
      </c>
      <c r="F297" t="s">
        <v>13</v>
      </c>
      <c r="G297">
        <v>66</v>
      </c>
      <c r="H297">
        <v>90</v>
      </c>
      <c r="I297" t="s">
        <v>35</v>
      </c>
      <c r="J297" t="str">
        <f>IF(Student_Data[[#This Row],[Marks]] &gt;= 90,"A+",IF(Student_Data[[#This Row],[Marks]]&gt;=80,"A",IF(Student_Data[[#This Row],[Marks]]&gt;=70,"B",IF(Student_Data[[#This Row],[Marks]]&gt;=60,"C","F"))))</f>
        <v>C</v>
      </c>
      <c r="K297" t="str">
        <f>IF(Student_Data[[#This Row],[Marks]]&gt;=35,"Pass","Fail")</f>
        <v>Pass</v>
      </c>
    </row>
    <row r="298" spans="1:11" x14ac:dyDescent="0.3">
      <c r="A298" t="s">
        <v>413</v>
      </c>
      <c r="B298" t="s">
        <v>252</v>
      </c>
      <c r="C298" t="s">
        <v>25</v>
      </c>
      <c r="D298">
        <v>7</v>
      </c>
      <c r="E298" t="s">
        <v>17</v>
      </c>
      <c r="F298" t="s">
        <v>43</v>
      </c>
      <c r="G298">
        <v>45</v>
      </c>
      <c r="H298">
        <v>72</v>
      </c>
      <c r="I298" t="s">
        <v>40</v>
      </c>
      <c r="J298" t="str">
        <f>IF(Student_Data[[#This Row],[Marks]] &gt;= 90,"A+",IF(Student_Data[[#This Row],[Marks]]&gt;=80,"A",IF(Student_Data[[#This Row],[Marks]]&gt;=70,"B",IF(Student_Data[[#This Row],[Marks]]&gt;=60,"C","F"))))</f>
        <v>F</v>
      </c>
      <c r="K298" t="str">
        <f>IF(Student_Data[[#This Row],[Marks]]&gt;=35,"Pass","Fail")</f>
        <v>Pass</v>
      </c>
    </row>
    <row r="299" spans="1:11" x14ac:dyDescent="0.3">
      <c r="A299" t="s">
        <v>414</v>
      </c>
      <c r="B299" t="s">
        <v>88</v>
      </c>
      <c r="C299" t="s">
        <v>11</v>
      </c>
      <c r="D299">
        <v>11</v>
      </c>
      <c r="E299" t="s">
        <v>17</v>
      </c>
      <c r="F299" t="s">
        <v>13</v>
      </c>
      <c r="G299">
        <v>47</v>
      </c>
      <c r="H299">
        <v>97</v>
      </c>
      <c r="I299" t="s">
        <v>31</v>
      </c>
      <c r="J299" t="str">
        <f>IF(Student_Data[[#This Row],[Marks]] &gt;= 90,"A+",IF(Student_Data[[#This Row],[Marks]]&gt;=80,"A",IF(Student_Data[[#This Row],[Marks]]&gt;=70,"B",IF(Student_Data[[#This Row],[Marks]]&gt;=60,"C","F"))))</f>
        <v>F</v>
      </c>
      <c r="K299" t="str">
        <f>IF(Student_Data[[#This Row],[Marks]]&gt;=35,"Pass","Fail")</f>
        <v>Pass</v>
      </c>
    </row>
    <row r="300" spans="1:11" x14ac:dyDescent="0.3">
      <c r="A300" t="s">
        <v>415</v>
      </c>
      <c r="B300" t="s">
        <v>37</v>
      </c>
      <c r="C300" t="s">
        <v>11</v>
      </c>
      <c r="D300">
        <v>10</v>
      </c>
      <c r="E300" t="s">
        <v>33</v>
      </c>
      <c r="F300" t="s">
        <v>18</v>
      </c>
      <c r="G300">
        <v>53</v>
      </c>
      <c r="H300">
        <v>78</v>
      </c>
      <c r="I300" t="s">
        <v>31</v>
      </c>
      <c r="J300" t="str">
        <f>IF(Student_Data[[#This Row],[Marks]] &gt;= 90,"A+",IF(Student_Data[[#This Row],[Marks]]&gt;=80,"A",IF(Student_Data[[#This Row],[Marks]]&gt;=70,"B",IF(Student_Data[[#This Row],[Marks]]&gt;=60,"C","F"))))</f>
        <v>F</v>
      </c>
      <c r="K300" t="str">
        <f>IF(Student_Data[[#This Row],[Marks]]&gt;=35,"Pass","Fail")</f>
        <v>Pass</v>
      </c>
    </row>
    <row r="301" spans="1:11" x14ac:dyDescent="0.3">
      <c r="A301" t="s">
        <v>416</v>
      </c>
      <c r="B301" t="s">
        <v>211</v>
      </c>
      <c r="C301" t="s">
        <v>11</v>
      </c>
      <c r="D301">
        <v>7</v>
      </c>
      <c r="E301" t="s">
        <v>12</v>
      </c>
      <c r="F301" t="s">
        <v>43</v>
      </c>
      <c r="G301">
        <v>75</v>
      </c>
      <c r="H301">
        <v>79</v>
      </c>
      <c r="I301" t="s">
        <v>35</v>
      </c>
      <c r="J301" t="str">
        <f>IF(Student_Data[[#This Row],[Marks]] &gt;= 90,"A+",IF(Student_Data[[#This Row],[Marks]]&gt;=80,"A",IF(Student_Data[[#This Row],[Marks]]&gt;=70,"B",IF(Student_Data[[#This Row],[Marks]]&gt;=60,"C","F"))))</f>
        <v>B</v>
      </c>
      <c r="K301" t="str">
        <f>IF(Student_Data[[#This Row],[Marks]]&gt;=35,"Pass","Fail")</f>
        <v>Pass</v>
      </c>
    </row>
    <row r="302" spans="1:11" x14ac:dyDescent="0.3">
      <c r="A302" t="s">
        <v>417</v>
      </c>
      <c r="B302" t="s">
        <v>200</v>
      </c>
      <c r="C302" t="s">
        <v>11</v>
      </c>
      <c r="D302">
        <v>11</v>
      </c>
      <c r="E302" t="s">
        <v>12</v>
      </c>
      <c r="F302" t="s">
        <v>34</v>
      </c>
      <c r="G302">
        <v>98</v>
      </c>
      <c r="H302">
        <v>75</v>
      </c>
      <c r="I302" t="s">
        <v>40</v>
      </c>
      <c r="J302" t="str">
        <f>IF(Student_Data[[#This Row],[Marks]] &gt;= 90,"A+",IF(Student_Data[[#This Row],[Marks]]&gt;=80,"A",IF(Student_Data[[#This Row],[Marks]]&gt;=70,"B",IF(Student_Data[[#This Row],[Marks]]&gt;=60,"C","F"))))</f>
        <v>A+</v>
      </c>
      <c r="K302" t="str">
        <f>IF(Student_Data[[#This Row],[Marks]]&gt;=35,"Pass","Fail")</f>
        <v>Pass</v>
      </c>
    </row>
    <row r="303" spans="1:11" x14ac:dyDescent="0.3">
      <c r="A303" t="s">
        <v>418</v>
      </c>
      <c r="B303" t="s">
        <v>184</v>
      </c>
      <c r="C303" t="s">
        <v>25</v>
      </c>
      <c r="D303">
        <v>11</v>
      </c>
      <c r="E303" t="s">
        <v>33</v>
      </c>
      <c r="F303" t="s">
        <v>26</v>
      </c>
      <c r="G303">
        <v>50</v>
      </c>
      <c r="H303">
        <v>86</v>
      </c>
      <c r="I303" t="s">
        <v>31</v>
      </c>
      <c r="J303" t="str">
        <f>IF(Student_Data[[#This Row],[Marks]] &gt;= 90,"A+",IF(Student_Data[[#This Row],[Marks]]&gt;=80,"A",IF(Student_Data[[#This Row],[Marks]]&gt;=70,"B",IF(Student_Data[[#This Row],[Marks]]&gt;=60,"C","F"))))</f>
        <v>F</v>
      </c>
      <c r="K303" t="str">
        <f>IF(Student_Data[[#This Row],[Marks]]&gt;=35,"Pass","Fail")</f>
        <v>Pass</v>
      </c>
    </row>
    <row r="304" spans="1:11" x14ac:dyDescent="0.3">
      <c r="A304" t="s">
        <v>419</v>
      </c>
      <c r="B304" t="s">
        <v>198</v>
      </c>
      <c r="C304" t="s">
        <v>11</v>
      </c>
      <c r="D304">
        <v>8</v>
      </c>
      <c r="E304" t="s">
        <v>17</v>
      </c>
      <c r="F304" t="s">
        <v>13</v>
      </c>
      <c r="G304">
        <v>100</v>
      </c>
      <c r="H304">
        <v>81</v>
      </c>
      <c r="I304" t="s">
        <v>19</v>
      </c>
      <c r="J304" t="str">
        <f>IF(Student_Data[[#This Row],[Marks]] &gt;= 90,"A+",IF(Student_Data[[#This Row],[Marks]]&gt;=80,"A",IF(Student_Data[[#This Row],[Marks]]&gt;=70,"B",IF(Student_Data[[#This Row],[Marks]]&gt;=60,"C","F"))))</f>
        <v>A+</v>
      </c>
      <c r="K304" t="str">
        <f>IF(Student_Data[[#This Row],[Marks]]&gt;=35,"Pass","Fail")</f>
        <v>Pass</v>
      </c>
    </row>
    <row r="305" spans="1:11" x14ac:dyDescent="0.3">
      <c r="A305" t="s">
        <v>420</v>
      </c>
      <c r="B305" t="s">
        <v>132</v>
      </c>
      <c r="C305" t="s">
        <v>11</v>
      </c>
      <c r="D305">
        <v>10</v>
      </c>
      <c r="E305" t="s">
        <v>33</v>
      </c>
      <c r="F305" t="s">
        <v>26</v>
      </c>
      <c r="G305">
        <v>64</v>
      </c>
      <c r="H305">
        <v>62</v>
      </c>
      <c r="I305" t="s">
        <v>35</v>
      </c>
      <c r="J305" t="str">
        <f>IF(Student_Data[[#This Row],[Marks]] &gt;= 90,"A+",IF(Student_Data[[#This Row],[Marks]]&gt;=80,"A",IF(Student_Data[[#This Row],[Marks]]&gt;=70,"B",IF(Student_Data[[#This Row],[Marks]]&gt;=60,"C","F"))))</f>
        <v>C</v>
      </c>
      <c r="K305" t="str">
        <f>IF(Student_Data[[#This Row],[Marks]]&gt;=35,"Pass","Fail")</f>
        <v>Pass</v>
      </c>
    </row>
    <row r="306" spans="1:11" x14ac:dyDescent="0.3">
      <c r="A306" t="s">
        <v>421</v>
      </c>
      <c r="B306" t="s">
        <v>173</v>
      </c>
      <c r="C306" t="s">
        <v>25</v>
      </c>
      <c r="D306">
        <v>10</v>
      </c>
      <c r="E306" t="s">
        <v>33</v>
      </c>
      <c r="F306" t="s">
        <v>26</v>
      </c>
      <c r="G306">
        <v>72</v>
      </c>
      <c r="H306">
        <v>83</v>
      </c>
      <c r="I306" t="s">
        <v>19</v>
      </c>
      <c r="J306" t="str">
        <f>IF(Student_Data[[#This Row],[Marks]] &gt;= 90,"A+",IF(Student_Data[[#This Row],[Marks]]&gt;=80,"A",IF(Student_Data[[#This Row],[Marks]]&gt;=70,"B",IF(Student_Data[[#This Row],[Marks]]&gt;=60,"C","F"))))</f>
        <v>B</v>
      </c>
      <c r="K306" t="str">
        <f>IF(Student_Data[[#This Row],[Marks]]&gt;=35,"Pass","Fail")</f>
        <v>Pass</v>
      </c>
    </row>
    <row r="307" spans="1:11" x14ac:dyDescent="0.3">
      <c r="A307" t="s">
        <v>422</v>
      </c>
      <c r="B307" t="s">
        <v>423</v>
      </c>
      <c r="C307" t="s">
        <v>25</v>
      </c>
      <c r="D307">
        <v>8</v>
      </c>
      <c r="E307" t="s">
        <v>33</v>
      </c>
      <c r="F307" t="s">
        <v>26</v>
      </c>
      <c r="G307">
        <v>75</v>
      </c>
      <c r="H307">
        <v>69</v>
      </c>
      <c r="I307" t="s">
        <v>35</v>
      </c>
      <c r="J307" t="str">
        <f>IF(Student_Data[[#This Row],[Marks]] &gt;= 90,"A+",IF(Student_Data[[#This Row],[Marks]]&gt;=80,"A",IF(Student_Data[[#This Row],[Marks]]&gt;=70,"B",IF(Student_Data[[#This Row],[Marks]]&gt;=60,"C","F"))))</f>
        <v>B</v>
      </c>
      <c r="K307" t="str">
        <f>IF(Student_Data[[#This Row],[Marks]]&gt;=35,"Pass","Fail")</f>
        <v>Pass</v>
      </c>
    </row>
    <row r="308" spans="1:11" x14ac:dyDescent="0.3">
      <c r="A308" t="s">
        <v>424</v>
      </c>
      <c r="B308" t="s">
        <v>179</v>
      </c>
      <c r="C308" t="s">
        <v>25</v>
      </c>
      <c r="D308">
        <v>8</v>
      </c>
      <c r="E308" t="s">
        <v>17</v>
      </c>
      <c r="F308" t="s">
        <v>22</v>
      </c>
      <c r="G308">
        <v>83</v>
      </c>
      <c r="H308">
        <v>79</v>
      </c>
      <c r="I308" t="s">
        <v>14</v>
      </c>
      <c r="J308" t="str">
        <f>IF(Student_Data[[#This Row],[Marks]] &gt;= 90,"A+",IF(Student_Data[[#This Row],[Marks]]&gt;=80,"A",IF(Student_Data[[#This Row],[Marks]]&gt;=70,"B",IF(Student_Data[[#This Row],[Marks]]&gt;=60,"C","F"))))</f>
        <v>A</v>
      </c>
      <c r="K308" t="str">
        <f>IF(Student_Data[[#This Row],[Marks]]&gt;=35,"Pass","Fail")</f>
        <v>Pass</v>
      </c>
    </row>
    <row r="309" spans="1:11" x14ac:dyDescent="0.3">
      <c r="A309" t="s">
        <v>425</v>
      </c>
      <c r="B309" t="s">
        <v>55</v>
      </c>
      <c r="C309" t="s">
        <v>11</v>
      </c>
      <c r="D309">
        <v>7</v>
      </c>
      <c r="E309" t="s">
        <v>12</v>
      </c>
      <c r="F309" t="s">
        <v>34</v>
      </c>
      <c r="G309">
        <v>84</v>
      </c>
      <c r="H309">
        <v>81</v>
      </c>
      <c r="I309" t="s">
        <v>49</v>
      </c>
      <c r="J309" t="str">
        <f>IF(Student_Data[[#This Row],[Marks]] &gt;= 90,"A+",IF(Student_Data[[#This Row],[Marks]]&gt;=80,"A",IF(Student_Data[[#This Row],[Marks]]&gt;=70,"B",IF(Student_Data[[#This Row],[Marks]]&gt;=60,"C","F"))))</f>
        <v>A</v>
      </c>
      <c r="K309" t="str">
        <f>IF(Student_Data[[#This Row],[Marks]]&gt;=35,"Pass","Fail")</f>
        <v>Pass</v>
      </c>
    </row>
    <row r="310" spans="1:11" x14ac:dyDescent="0.3">
      <c r="A310" t="s">
        <v>426</v>
      </c>
      <c r="B310" t="s">
        <v>51</v>
      </c>
      <c r="C310" t="s">
        <v>25</v>
      </c>
      <c r="D310">
        <v>6</v>
      </c>
      <c r="E310" t="s">
        <v>17</v>
      </c>
      <c r="F310" t="s">
        <v>22</v>
      </c>
      <c r="G310">
        <v>84</v>
      </c>
      <c r="H310">
        <v>68</v>
      </c>
      <c r="I310" t="s">
        <v>14</v>
      </c>
      <c r="J310" t="str">
        <f>IF(Student_Data[[#This Row],[Marks]] &gt;= 90,"A+",IF(Student_Data[[#This Row],[Marks]]&gt;=80,"A",IF(Student_Data[[#This Row],[Marks]]&gt;=70,"B",IF(Student_Data[[#This Row],[Marks]]&gt;=60,"C","F"))))</f>
        <v>A</v>
      </c>
      <c r="K310" t="str">
        <f>IF(Student_Data[[#This Row],[Marks]]&gt;=35,"Pass","Fail")</f>
        <v>Pass</v>
      </c>
    </row>
    <row r="311" spans="1:11" x14ac:dyDescent="0.3">
      <c r="A311" t="s">
        <v>427</v>
      </c>
      <c r="B311" t="s">
        <v>189</v>
      </c>
      <c r="C311" t="s">
        <v>11</v>
      </c>
      <c r="D311">
        <v>9</v>
      </c>
      <c r="E311" t="s">
        <v>12</v>
      </c>
      <c r="F311" t="s">
        <v>34</v>
      </c>
      <c r="G311">
        <v>41</v>
      </c>
      <c r="H311">
        <v>87</v>
      </c>
      <c r="I311" t="s">
        <v>46</v>
      </c>
      <c r="J311" t="str">
        <f>IF(Student_Data[[#This Row],[Marks]] &gt;= 90,"A+",IF(Student_Data[[#This Row],[Marks]]&gt;=80,"A",IF(Student_Data[[#This Row],[Marks]]&gt;=70,"B",IF(Student_Data[[#This Row],[Marks]]&gt;=60,"C","F"))))</f>
        <v>F</v>
      </c>
      <c r="K311" t="str">
        <f>IF(Student_Data[[#This Row],[Marks]]&gt;=35,"Pass","Fail")</f>
        <v>Pass</v>
      </c>
    </row>
    <row r="312" spans="1:11" x14ac:dyDescent="0.3">
      <c r="A312" t="s">
        <v>428</v>
      </c>
      <c r="B312" t="s">
        <v>244</v>
      </c>
      <c r="C312" t="s">
        <v>11</v>
      </c>
      <c r="D312">
        <v>11</v>
      </c>
      <c r="E312" t="s">
        <v>17</v>
      </c>
      <c r="F312" t="s">
        <v>34</v>
      </c>
      <c r="G312">
        <v>97</v>
      </c>
      <c r="H312">
        <v>68</v>
      </c>
      <c r="I312" t="s">
        <v>49</v>
      </c>
      <c r="J312" t="str">
        <f>IF(Student_Data[[#This Row],[Marks]] &gt;= 90,"A+",IF(Student_Data[[#This Row],[Marks]]&gt;=80,"A",IF(Student_Data[[#This Row],[Marks]]&gt;=70,"B",IF(Student_Data[[#This Row],[Marks]]&gt;=60,"C","F"))))</f>
        <v>A+</v>
      </c>
      <c r="K312" t="str">
        <f>IF(Student_Data[[#This Row],[Marks]]&gt;=35,"Pass","Fail")</f>
        <v>Pass</v>
      </c>
    </row>
    <row r="313" spans="1:11" x14ac:dyDescent="0.3">
      <c r="A313" t="s">
        <v>429</v>
      </c>
      <c r="B313" t="s">
        <v>126</v>
      </c>
      <c r="C313" t="s">
        <v>25</v>
      </c>
      <c r="D313">
        <v>6</v>
      </c>
      <c r="E313" t="s">
        <v>17</v>
      </c>
      <c r="F313" t="s">
        <v>43</v>
      </c>
      <c r="G313">
        <v>36</v>
      </c>
      <c r="H313">
        <v>70</v>
      </c>
      <c r="I313" t="s">
        <v>14</v>
      </c>
      <c r="J313" t="str">
        <f>IF(Student_Data[[#This Row],[Marks]] &gt;= 90,"A+",IF(Student_Data[[#This Row],[Marks]]&gt;=80,"A",IF(Student_Data[[#This Row],[Marks]]&gt;=70,"B",IF(Student_Data[[#This Row],[Marks]]&gt;=60,"C","F"))))</f>
        <v>F</v>
      </c>
      <c r="K313" t="str">
        <f>IF(Student_Data[[#This Row],[Marks]]&gt;=35,"Pass","Fail")</f>
        <v>Pass</v>
      </c>
    </row>
    <row r="314" spans="1:11" x14ac:dyDescent="0.3">
      <c r="A314" t="s">
        <v>430</v>
      </c>
      <c r="B314" t="s">
        <v>239</v>
      </c>
      <c r="C314" t="s">
        <v>11</v>
      </c>
      <c r="D314">
        <v>9</v>
      </c>
      <c r="E314" t="s">
        <v>17</v>
      </c>
      <c r="F314" t="s">
        <v>43</v>
      </c>
      <c r="G314">
        <v>69</v>
      </c>
      <c r="H314">
        <v>95</v>
      </c>
      <c r="I314" t="s">
        <v>31</v>
      </c>
      <c r="J314" t="str">
        <f>IF(Student_Data[[#This Row],[Marks]] &gt;= 90,"A+",IF(Student_Data[[#This Row],[Marks]]&gt;=80,"A",IF(Student_Data[[#This Row],[Marks]]&gt;=70,"B",IF(Student_Data[[#This Row],[Marks]]&gt;=60,"C","F"))))</f>
        <v>C</v>
      </c>
      <c r="K314" t="str">
        <f>IF(Student_Data[[#This Row],[Marks]]&gt;=35,"Pass","Fail")</f>
        <v>Pass</v>
      </c>
    </row>
    <row r="315" spans="1:11" x14ac:dyDescent="0.3">
      <c r="A315" t="s">
        <v>431</v>
      </c>
      <c r="B315" t="s">
        <v>432</v>
      </c>
      <c r="C315" t="s">
        <v>11</v>
      </c>
      <c r="D315">
        <v>6</v>
      </c>
      <c r="E315" t="s">
        <v>33</v>
      </c>
      <c r="F315" t="s">
        <v>18</v>
      </c>
      <c r="G315">
        <v>72</v>
      </c>
      <c r="H315">
        <v>81</v>
      </c>
      <c r="I315" t="s">
        <v>40</v>
      </c>
      <c r="J315" t="str">
        <f>IF(Student_Data[[#This Row],[Marks]] &gt;= 90,"A+",IF(Student_Data[[#This Row],[Marks]]&gt;=80,"A",IF(Student_Data[[#This Row],[Marks]]&gt;=70,"B",IF(Student_Data[[#This Row],[Marks]]&gt;=60,"C","F"))))</f>
        <v>B</v>
      </c>
      <c r="K315" t="str">
        <f>IF(Student_Data[[#This Row],[Marks]]&gt;=35,"Pass","Fail")</f>
        <v>Pass</v>
      </c>
    </row>
    <row r="316" spans="1:11" x14ac:dyDescent="0.3">
      <c r="A316" t="s">
        <v>433</v>
      </c>
      <c r="B316" t="s">
        <v>226</v>
      </c>
      <c r="C316" t="s">
        <v>11</v>
      </c>
      <c r="D316">
        <v>11</v>
      </c>
      <c r="E316" t="s">
        <v>12</v>
      </c>
      <c r="F316" t="s">
        <v>43</v>
      </c>
      <c r="G316">
        <v>59</v>
      </c>
      <c r="H316">
        <v>98</v>
      </c>
      <c r="I316" t="s">
        <v>49</v>
      </c>
      <c r="J316" t="str">
        <f>IF(Student_Data[[#This Row],[Marks]] &gt;= 90,"A+",IF(Student_Data[[#This Row],[Marks]]&gt;=80,"A",IF(Student_Data[[#This Row],[Marks]]&gt;=70,"B",IF(Student_Data[[#This Row],[Marks]]&gt;=60,"C","F"))))</f>
        <v>F</v>
      </c>
      <c r="K316" t="str">
        <f>IF(Student_Data[[#This Row],[Marks]]&gt;=35,"Pass","Fail")</f>
        <v>Pass</v>
      </c>
    </row>
    <row r="317" spans="1:11" x14ac:dyDescent="0.3">
      <c r="A317" t="s">
        <v>434</v>
      </c>
      <c r="B317" t="s">
        <v>380</v>
      </c>
      <c r="C317" t="s">
        <v>25</v>
      </c>
      <c r="D317">
        <v>9</v>
      </c>
      <c r="E317" t="s">
        <v>33</v>
      </c>
      <c r="F317" t="s">
        <v>43</v>
      </c>
      <c r="G317">
        <v>79</v>
      </c>
      <c r="H317">
        <v>84</v>
      </c>
      <c r="I317" t="s">
        <v>49</v>
      </c>
      <c r="J317" t="str">
        <f>IF(Student_Data[[#This Row],[Marks]] &gt;= 90,"A+",IF(Student_Data[[#This Row],[Marks]]&gt;=80,"A",IF(Student_Data[[#This Row],[Marks]]&gt;=70,"B",IF(Student_Data[[#This Row],[Marks]]&gt;=60,"C","F"))))</f>
        <v>B</v>
      </c>
      <c r="K317" t="str">
        <f>IF(Student_Data[[#This Row],[Marks]]&gt;=35,"Pass","Fail")</f>
        <v>Pass</v>
      </c>
    </row>
    <row r="318" spans="1:11" x14ac:dyDescent="0.3">
      <c r="A318" t="s">
        <v>435</v>
      </c>
      <c r="B318" t="s">
        <v>226</v>
      </c>
      <c r="C318" t="s">
        <v>11</v>
      </c>
      <c r="D318">
        <v>9</v>
      </c>
      <c r="E318" t="s">
        <v>17</v>
      </c>
      <c r="F318" t="s">
        <v>34</v>
      </c>
      <c r="G318">
        <v>83</v>
      </c>
      <c r="H318">
        <v>91</v>
      </c>
      <c r="I318" t="s">
        <v>14</v>
      </c>
      <c r="J318" t="str">
        <f>IF(Student_Data[[#This Row],[Marks]] &gt;= 90,"A+",IF(Student_Data[[#This Row],[Marks]]&gt;=80,"A",IF(Student_Data[[#This Row],[Marks]]&gt;=70,"B",IF(Student_Data[[#This Row],[Marks]]&gt;=60,"C","F"))))</f>
        <v>A</v>
      </c>
      <c r="K318" t="str">
        <f>IF(Student_Data[[#This Row],[Marks]]&gt;=35,"Pass","Fail")</f>
        <v>Pass</v>
      </c>
    </row>
    <row r="319" spans="1:11" x14ac:dyDescent="0.3">
      <c r="A319" t="s">
        <v>436</v>
      </c>
      <c r="B319" t="s">
        <v>72</v>
      </c>
      <c r="C319" t="s">
        <v>25</v>
      </c>
      <c r="D319">
        <v>7</v>
      </c>
      <c r="E319" t="s">
        <v>12</v>
      </c>
      <c r="F319" t="s">
        <v>26</v>
      </c>
      <c r="G319">
        <v>66</v>
      </c>
      <c r="H319">
        <v>78</v>
      </c>
      <c r="I319" t="s">
        <v>31</v>
      </c>
      <c r="J319" t="str">
        <f>IF(Student_Data[[#This Row],[Marks]] &gt;= 90,"A+",IF(Student_Data[[#This Row],[Marks]]&gt;=80,"A",IF(Student_Data[[#This Row],[Marks]]&gt;=70,"B",IF(Student_Data[[#This Row],[Marks]]&gt;=60,"C","F"))))</f>
        <v>C</v>
      </c>
      <c r="K319" t="str">
        <f>IF(Student_Data[[#This Row],[Marks]]&gt;=35,"Pass","Fail")</f>
        <v>Pass</v>
      </c>
    </row>
    <row r="320" spans="1:11" x14ac:dyDescent="0.3">
      <c r="A320" t="s">
        <v>437</v>
      </c>
      <c r="B320" t="s">
        <v>316</v>
      </c>
      <c r="C320" t="s">
        <v>25</v>
      </c>
      <c r="D320">
        <v>7</v>
      </c>
      <c r="E320" t="s">
        <v>33</v>
      </c>
      <c r="F320" t="s">
        <v>22</v>
      </c>
      <c r="G320">
        <v>87</v>
      </c>
      <c r="H320">
        <v>72</v>
      </c>
      <c r="I320" t="s">
        <v>31</v>
      </c>
      <c r="J320" t="str">
        <f>IF(Student_Data[[#This Row],[Marks]] &gt;= 90,"A+",IF(Student_Data[[#This Row],[Marks]]&gt;=80,"A",IF(Student_Data[[#This Row],[Marks]]&gt;=70,"B",IF(Student_Data[[#This Row],[Marks]]&gt;=60,"C","F"))))</f>
        <v>A</v>
      </c>
      <c r="K320" t="str">
        <f>IF(Student_Data[[#This Row],[Marks]]&gt;=35,"Pass","Fail")</f>
        <v>Pass</v>
      </c>
    </row>
    <row r="321" spans="1:11" x14ac:dyDescent="0.3">
      <c r="A321" t="s">
        <v>438</v>
      </c>
      <c r="B321" t="s">
        <v>236</v>
      </c>
      <c r="C321" t="s">
        <v>11</v>
      </c>
      <c r="D321">
        <v>9</v>
      </c>
      <c r="E321" t="s">
        <v>17</v>
      </c>
      <c r="F321" t="s">
        <v>13</v>
      </c>
      <c r="G321">
        <v>90</v>
      </c>
      <c r="H321">
        <v>75</v>
      </c>
      <c r="I321" t="s">
        <v>40</v>
      </c>
      <c r="J321" t="str">
        <f>IF(Student_Data[[#This Row],[Marks]] &gt;= 90,"A+",IF(Student_Data[[#This Row],[Marks]]&gt;=80,"A",IF(Student_Data[[#This Row],[Marks]]&gt;=70,"B",IF(Student_Data[[#This Row],[Marks]]&gt;=60,"C","F"))))</f>
        <v>A+</v>
      </c>
      <c r="K321" t="str">
        <f>IF(Student_Data[[#This Row],[Marks]]&gt;=35,"Pass","Fail")</f>
        <v>Pass</v>
      </c>
    </row>
    <row r="322" spans="1:11" x14ac:dyDescent="0.3">
      <c r="A322" t="s">
        <v>439</v>
      </c>
      <c r="B322" t="s">
        <v>432</v>
      </c>
      <c r="C322" t="s">
        <v>11</v>
      </c>
      <c r="D322">
        <v>7</v>
      </c>
      <c r="E322" t="s">
        <v>17</v>
      </c>
      <c r="F322" t="s">
        <v>34</v>
      </c>
      <c r="G322">
        <v>58</v>
      </c>
      <c r="H322">
        <v>77</v>
      </c>
      <c r="I322" t="s">
        <v>40</v>
      </c>
      <c r="J322" t="str">
        <f>IF(Student_Data[[#This Row],[Marks]] &gt;= 90,"A+",IF(Student_Data[[#This Row],[Marks]]&gt;=80,"A",IF(Student_Data[[#This Row],[Marks]]&gt;=70,"B",IF(Student_Data[[#This Row],[Marks]]&gt;=60,"C","F"))))</f>
        <v>F</v>
      </c>
      <c r="K322" t="str">
        <f>IF(Student_Data[[#This Row],[Marks]]&gt;=35,"Pass","Fail")</f>
        <v>Pass</v>
      </c>
    </row>
    <row r="323" spans="1:11" x14ac:dyDescent="0.3">
      <c r="A323" t="s">
        <v>440</v>
      </c>
      <c r="B323" t="s">
        <v>224</v>
      </c>
      <c r="C323" t="s">
        <v>25</v>
      </c>
      <c r="D323">
        <v>6</v>
      </c>
      <c r="E323" t="s">
        <v>17</v>
      </c>
      <c r="F323" t="s">
        <v>18</v>
      </c>
      <c r="G323">
        <v>98</v>
      </c>
      <c r="H323">
        <v>87</v>
      </c>
      <c r="I323" t="s">
        <v>31</v>
      </c>
      <c r="J323" t="str">
        <f>IF(Student_Data[[#This Row],[Marks]] &gt;= 90,"A+",IF(Student_Data[[#This Row],[Marks]]&gt;=80,"A",IF(Student_Data[[#This Row],[Marks]]&gt;=70,"B",IF(Student_Data[[#This Row],[Marks]]&gt;=60,"C","F"))))</f>
        <v>A+</v>
      </c>
      <c r="K323" t="str">
        <f>IF(Student_Data[[#This Row],[Marks]]&gt;=35,"Pass","Fail")</f>
        <v>Pass</v>
      </c>
    </row>
    <row r="324" spans="1:11" x14ac:dyDescent="0.3">
      <c r="A324" t="s">
        <v>441</v>
      </c>
      <c r="B324" t="s">
        <v>107</v>
      </c>
      <c r="C324" t="s">
        <v>25</v>
      </c>
      <c r="D324">
        <v>8</v>
      </c>
      <c r="E324" t="s">
        <v>12</v>
      </c>
      <c r="F324" t="s">
        <v>18</v>
      </c>
      <c r="G324">
        <v>42</v>
      </c>
      <c r="H324">
        <v>70</v>
      </c>
      <c r="I324" t="s">
        <v>46</v>
      </c>
      <c r="J324" t="str">
        <f>IF(Student_Data[[#This Row],[Marks]] &gt;= 90,"A+",IF(Student_Data[[#This Row],[Marks]]&gt;=80,"A",IF(Student_Data[[#This Row],[Marks]]&gt;=70,"B",IF(Student_Data[[#This Row],[Marks]]&gt;=60,"C","F"))))</f>
        <v>F</v>
      </c>
      <c r="K324" t="str">
        <f>IF(Student_Data[[#This Row],[Marks]]&gt;=35,"Pass","Fail")</f>
        <v>Pass</v>
      </c>
    </row>
    <row r="325" spans="1:11" x14ac:dyDescent="0.3">
      <c r="A325" t="s">
        <v>442</v>
      </c>
      <c r="B325" t="s">
        <v>285</v>
      </c>
      <c r="C325" t="s">
        <v>11</v>
      </c>
      <c r="D325">
        <v>10</v>
      </c>
      <c r="E325" t="s">
        <v>33</v>
      </c>
      <c r="F325" t="s">
        <v>34</v>
      </c>
      <c r="G325">
        <v>95</v>
      </c>
      <c r="H325">
        <v>88</v>
      </c>
      <c r="I325" t="s">
        <v>46</v>
      </c>
      <c r="J325" t="str">
        <f>IF(Student_Data[[#This Row],[Marks]] &gt;= 90,"A+",IF(Student_Data[[#This Row],[Marks]]&gt;=80,"A",IF(Student_Data[[#This Row],[Marks]]&gt;=70,"B",IF(Student_Data[[#This Row],[Marks]]&gt;=60,"C","F"))))</f>
        <v>A+</v>
      </c>
      <c r="K325" t="str">
        <f>IF(Student_Data[[#This Row],[Marks]]&gt;=35,"Pass","Fail")</f>
        <v>Pass</v>
      </c>
    </row>
    <row r="326" spans="1:11" x14ac:dyDescent="0.3">
      <c r="A326" t="s">
        <v>443</v>
      </c>
      <c r="B326" t="s">
        <v>37</v>
      </c>
      <c r="C326" t="s">
        <v>11</v>
      </c>
      <c r="D326">
        <v>8</v>
      </c>
      <c r="E326" t="s">
        <v>33</v>
      </c>
      <c r="F326" t="s">
        <v>26</v>
      </c>
      <c r="G326">
        <v>70</v>
      </c>
      <c r="H326">
        <v>75</v>
      </c>
      <c r="I326" t="s">
        <v>46</v>
      </c>
      <c r="J326" t="str">
        <f>IF(Student_Data[[#This Row],[Marks]] &gt;= 90,"A+",IF(Student_Data[[#This Row],[Marks]]&gt;=80,"A",IF(Student_Data[[#This Row],[Marks]]&gt;=70,"B",IF(Student_Data[[#This Row],[Marks]]&gt;=60,"C","F"))))</f>
        <v>B</v>
      </c>
      <c r="K326" t="str">
        <f>IF(Student_Data[[#This Row],[Marks]]&gt;=35,"Pass","Fail")</f>
        <v>Pass</v>
      </c>
    </row>
    <row r="327" spans="1:11" x14ac:dyDescent="0.3">
      <c r="A327" t="s">
        <v>444</v>
      </c>
      <c r="B327" t="s">
        <v>198</v>
      </c>
      <c r="C327" t="s">
        <v>25</v>
      </c>
      <c r="D327">
        <v>9</v>
      </c>
      <c r="E327" t="s">
        <v>17</v>
      </c>
      <c r="F327" t="s">
        <v>34</v>
      </c>
      <c r="G327">
        <v>85</v>
      </c>
      <c r="H327">
        <v>89</v>
      </c>
      <c r="I327" t="s">
        <v>14</v>
      </c>
      <c r="J327" t="str">
        <f>IF(Student_Data[[#This Row],[Marks]] &gt;= 90,"A+",IF(Student_Data[[#This Row],[Marks]]&gt;=80,"A",IF(Student_Data[[#This Row],[Marks]]&gt;=70,"B",IF(Student_Data[[#This Row],[Marks]]&gt;=60,"C","F"))))</f>
        <v>A</v>
      </c>
      <c r="K327" t="str">
        <f>IF(Student_Data[[#This Row],[Marks]]&gt;=35,"Pass","Fail")</f>
        <v>Pass</v>
      </c>
    </row>
    <row r="328" spans="1:11" x14ac:dyDescent="0.3">
      <c r="A328" t="s">
        <v>445</v>
      </c>
      <c r="B328" t="s">
        <v>173</v>
      </c>
      <c r="C328" t="s">
        <v>11</v>
      </c>
      <c r="D328">
        <v>12</v>
      </c>
      <c r="E328" t="s">
        <v>17</v>
      </c>
      <c r="F328" t="s">
        <v>26</v>
      </c>
      <c r="G328">
        <v>41</v>
      </c>
      <c r="H328">
        <v>100</v>
      </c>
      <c r="I328" t="s">
        <v>40</v>
      </c>
      <c r="J328" t="str">
        <f>IF(Student_Data[[#This Row],[Marks]] &gt;= 90,"A+",IF(Student_Data[[#This Row],[Marks]]&gt;=80,"A",IF(Student_Data[[#This Row],[Marks]]&gt;=70,"B",IF(Student_Data[[#This Row],[Marks]]&gt;=60,"C","F"))))</f>
        <v>F</v>
      </c>
      <c r="K328" t="str">
        <f>IF(Student_Data[[#This Row],[Marks]]&gt;=35,"Pass","Fail")</f>
        <v>Pass</v>
      </c>
    </row>
    <row r="329" spans="1:11" x14ac:dyDescent="0.3">
      <c r="A329" t="s">
        <v>446</v>
      </c>
      <c r="B329" t="s">
        <v>135</v>
      </c>
      <c r="C329" t="s">
        <v>25</v>
      </c>
      <c r="D329">
        <v>10</v>
      </c>
      <c r="E329" t="s">
        <v>33</v>
      </c>
      <c r="F329" t="s">
        <v>43</v>
      </c>
      <c r="G329">
        <v>67</v>
      </c>
      <c r="H329">
        <v>80</v>
      </c>
      <c r="I329" t="s">
        <v>49</v>
      </c>
      <c r="J329" t="str">
        <f>IF(Student_Data[[#This Row],[Marks]] &gt;= 90,"A+",IF(Student_Data[[#This Row],[Marks]]&gt;=80,"A",IF(Student_Data[[#This Row],[Marks]]&gt;=70,"B",IF(Student_Data[[#This Row],[Marks]]&gt;=60,"C","F"))))</f>
        <v>C</v>
      </c>
      <c r="K329" t="str">
        <f>IF(Student_Data[[#This Row],[Marks]]&gt;=35,"Pass","Fail")</f>
        <v>Pass</v>
      </c>
    </row>
    <row r="330" spans="1:11" x14ac:dyDescent="0.3">
      <c r="A330" t="s">
        <v>447</v>
      </c>
      <c r="B330" t="s">
        <v>448</v>
      </c>
      <c r="C330" t="s">
        <v>25</v>
      </c>
      <c r="D330">
        <v>9</v>
      </c>
      <c r="E330" t="s">
        <v>33</v>
      </c>
      <c r="F330" t="s">
        <v>34</v>
      </c>
      <c r="G330">
        <v>59</v>
      </c>
      <c r="H330">
        <v>91</v>
      </c>
      <c r="I330" t="s">
        <v>35</v>
      </c>
      <c r="J330" t="str">
        <f>IF(Student_Data[[#This Row],[Marks]] &gt;= 90,"A+",IF(Student_Data[[#This Row],[Marks]]&gt;=80,"A",IF(Student_Data[[#This Row],[Marks]]&gt;=70,"B",IF(Student_Data[[#This Row],[Marks]]&gt;=60,"C","F"))))</f>
        <v>F</v>
      </c>
      <c r="K330" t="str">
        <f>IF(Student_Data[[#This Row],[Marks]]&gt;=35,"Pass","Fail")</f>
        <v>Pass</v>
      </c>
    </row>
    <row r="331" spans="1:11" x14ac:dyDescent="0.3">
      <c r="A331" t="s">
        <v>449</v>
      </c>
      <c r="B331" t="s">
        <v>45</v>
      </c>
      <c r="C331" t="s">
        <v>11</v>
      </c>
      <c r="D331">
        <v>6</v>
      </c>
      <c r="E331" t="s">
        <v>33</v>
      </c>
      <c r="F331" t="s">
        <v>26</v>
      </c>
      <c r="G331">
        <v>70</v>
      </c>
      <c r="H331">
        <v>91</v>
      </c>
      <c r="I331" t="s">
        <v>49</v>
      </c>
      <c r="J331" t="str">
        <f>IF(Student_Data[[#This Row],[Marks]] &gt;= 90,"A+",IF(Student_Data[[#This Row],[Marks]]&gt;=80,"A",IF(Student_Data[[#This Row],[Marks]]&gt;=70,"B",IF(Student_Data[[#This Row],[Marks]]&gt;=60,"C","F"))))</f>
        <v>B</v>
      </c>
      <c r="K331" t="str">
        <f>IF(Student_Data[[#This Row],[Marks]]&gt;=35,"Pass","Fail")</f>
        <v>Pass</v>
      </c>
    </row>
    <row r="332" spans="1:11" x14ac:dyDescent="0.3">
      <c r="A332" t="s">
        <v>450</v>
      </c>
      <c r="B332" t="s">
        <v>116</v>
      </c>
      <c r="C332" t="s">
        <v>25</v>
      </c>
      <c r="D332">
        <v>12</v>
      </c>
      <c r="E332" t="s">
        <v>17</v>
      </c>
      <c r="F332" t="s">
        <v>43</v>
      </c>
      <c r="G332">
        <v>87</v>
      </c>
      <c r="H332">
        <v>92</v>
      </c>
      <c r="I332" t="s">
        <v>46</v>
      </c>
      <c r="J332" t="str">
        <f>IF(Student_Data[[#This Row],[Marks]] &gt;= 90,"A+",IF(Student_Data[[#This Row],[Marks]]&gt;=80,"A",IF(Student_Data[[#This Row],[Marks]]&gt;=70,"B",IF(Student_Data[[#This Row],[Marks]]&gt;=60,"C","F"))))</f>
        <v>A</v>
      </c>
      <c r="K332" t="str">
        <f>IF(Student_Data[[#This Row],[Marks]]&gt;=35,"Pass","Fail")</f>
        <v>Pass</v>
      </c>
    </row>
    <row r="333" spans="1:11" x14ac:dyDescent="0.3">
      <c r="A333" t="s">
        <v>451</v>
      </c>
      <c r="B333" t="s">
        <v>452</v>
      </c>
      <c r="C333" t="s">
        <v>11</v>
      </c>
      <c r="D333">
        <v>8</v>
      </c>
      <c r="E333" t="s">
        <v>12</v>
      </c>
      <c r="F333" t="s">
        <v>13</v>
      </c>
      <c r="G333">
        <v>56</v>
      </c>
      <c r="H333">
        <v>87</v>
      </c>
      <c r="I333" t="s">
        <v>40</v>
      </c>
      <c r="J333" t="str">
        <f>IF(Student_Data[[#This Row],[Marks]] &gt;= 90,"A+",IF(Student_Data[[#This Row],[Marks]]&gt;=80,"A",IF(Student_Data[[#This Row],[Marks]]&gt;=70,"B",IF(Student_Data[[#This Row],[Marks]]&gt;=60,"C","F"))))</f>
        <v>F</v>
      </c>
      <c r="K333" t="str">
        <f>IF(Student_Data[[#This Row],[Marks]]&gt;=35,"Pass","Fail")</f>
        <v>Pass</v>
      </c>
    </row>
    <row r="334" spans="1:11" x14ac:dyDescent="0.3">
      <c r="A334" t="s">
        <v>453</v>
      </c>
      <c r="B334" t="s">
        <v>432</v>
      </c>
      <c r="C334" t="s">
        <v>25</v>
      </c>
      <c r="D334">
        <v>10</v>
      </c>
      <c r="E334" t="s">
        <v>33</v>
      </c>
      <c r="F334" t="s">
        <v>22</v>
      </c>
      <c r="G334">
        <v>85</v>
      </c>
      <c r="H334">
        <v>60</v>
      </c>
      <c r="I334" t="s">
        <v>46</v>
      </c>
      <c r="J334" t="str">
        <f>IF(Student_Data[[#This Row],[Marks]] &gt;= 90,"A+",IF(Student_Data[[#This Row],[Marks]]&gt;=80,"A",IF(Student_Data[[#This Row],[Marks]]&gt;=70,"B",IF(Student_Data[[#This Row],[Marks]]&gt;=60,"C","F"))))</f>
        <v>A</v>
      </c>
      <c r="K334" t="str">
        <f>IF(Student_Data[[#This Row],[Marks]]&gt;=35,"Pass","Fail")</f>
        <v>Pass</v>
      </c>
    </row>
    <row r="335" spans="1:11" x14ac:dyDescent="0.3">
      <c r="A335" t="s">
        <v>454</v>
      </c>
      <c r="B335" t="s">
        <v>455</v>
      </c>
      <c r="C335" t="s">
        <v>11</v>
      </c>
      <c r="D335">
        <v>8</v>
      </c>
      <c r="E335" t="s">
        <v>33</v>
      </c>
      <c r="F335" t="s">
        <v>26</v>
      </c>
      <c r="G335">
        <v>83</v>
      </c>
      <c r="H335">
        <v>73</v>
      </c>
      <c r="I335" t="s">
        <v>19</v>
      </c>
      <c r="J335" t="str">
        <f>IF(Student_Data[[#This Row],[Marks]] &gt;= 90,"A+",IF(Student_Data[[#This Row],[Marks]]&gt;=80,"A",IF(Student_Data[[#This Row],[Marks]]&gt;=70,"B",IF(Student_Data[[#This Row],[Marks]]&gt;=60,"C","F"))))</f>
        <v>A</v>
      </c>
      <c r="K335" t="str">
        <f>IF(Student_Data[[#This Row],[Marks]]&gt;=35,"Pass","Fail")</f>
        <v>Pass</v>
      </c>
    </row>
    <row r="336" spans="1:11" x14ac:dyDescent="0.3">
      <c r="A336" t="s">
        <v>456</v>
      </c>
      <c r="B336" t="s">
        <v>457</v>
      </c>
      <c r="C336" t="s">
        <v>25</v>
      </c>
      <c r="D336">
        <v>9</v>
      </c>
      <c r="E336" t="s">
        <v>33</v>
      </c>
      <c r="F336" t="s">
        <v>26</v>
      </c>
      <c r="G336">
        <v>38</v>
      </c>
      <c r="H336">
        <v>69</v>
      </c>
      <c r="I336" t="s">
        <v>19</v>
      </c>
      <c r="J336" t="str">
        <f>IF(Student_Data[[#This Row],[Marks]] &gt;= 90,"A+",IF(Student_Data[[#This Row],[Marks]]&gt;=80,"A",IF(Student_Data[[#This Row],[Marks]]&gt;=70,"B",IF(Student_Data[[#This Row],[Marks]]&gt;=60,"C","F"))))</f>
        <v>F</v>
      </c>
      <c r="K336" t="str">
        <f>IF(Student_Data[[#This Row],[Marks]]&gt;=35,"Pass","Fail")</f>
        <v>Pass</v>
      </c>
    </row>
    <row r="337" spans="1:11" x14ac:dyDescent="0.3">
      <c r="A337" t="s">
        <v>458</v>
      </c>
      <c r="B337" t="s">
        <v>432</v>
      </c>
      <c r="C337" t="s">
        <v>25</v>
      </c>
      <c r="D337">
        <v>6</v>
      </c>
      <c r="E337" t="s">
        <v>12</v>
      </c>
      <c r="F337" t="s">
        <v>34</v>
      </c>
      <c r="G337">
        <v>64</v>
      </c>
      <c r="H337">
        <v>89</v>
      </c>
      <c r="I337" t="s">
        <v>46</v>
      </c>
      <c r="J337" t="str">
        <f>IF(Student_Data[[#This Row],[Marks]] &gt;= 90,"A+",IF(Student_Data[[#This Row],[Marks]]&gt;=80,"A",IF(Student_Data[[#This Row],[Marks]]&gt;=70,"B",IF(Student_Data[[#This Row],[Marks]]&gt;=60,"C","F"))))</f>
        <v>C</v>
      </c>
      <c r="K337" t="str">
        <f>IF(Student_Data[[#This Row],[Marks]]&gt;=35,"Pass","Fail")</f>
        <v>Pass</v>
      </c>
    </row>
    <row r="338" spans="1:11" x14ac:dyDescent="0.3">
      <c r="A338" t="s">
        <v>459</v>
      </c>
      <c r="B338" t="s">
        <v>59</v>
      </c>
      <c r="C338" t="s">
        <v>11</v>
      </c>
      <c r="D338">
        <v>7</v>
      </c>
      <c r="E338" t="s">
        <v>17</v>
      </c>
      <c r="F338" t="s">
        <v>34</v>
      </c>
      <c r="G338">
        <v>95</v>
      </c>
      <c r="H338">
        <v>94</v>
      </c>
      <c r="I338" t="s">
        <v>19</v>
      </c>
      <c r="J338" t="str">
        <f>IF(Student_Data[[#This Row],[Marks]] &gt;= 90,"A+",IF(Student_Data[[#This Row],[Marks]]&gt;=80,"A",IF(Student_Data[[#This Row],[Marks]]&gt;=70,"B",IF(Student_Data[[#This Row],[Marks]]&gt;=60,"C","F"))))</f>
        <v>A+</v>
      </c>
      <c r="K338" t="str">
        <f>IF(Student_Data[[#This Row],[Marks]]&gt;=35,"Pass","Fail")</f>
        <v>Pass</v>
      </c>
    </row>
    <row r="339" spans="1:11" x14ac:dyDescent="0.3">
      <c r="A339" t="s">
        <v>460</v>
      </c>
      <c r="B339" t="s">
        <v>112</v>
      </c>
      <c r="C339" t="s">
        <v>11</v>
      </c>
      <c r="D339">
        <v>10</v>
      </c>
      <c r="E339" t="s">
        <v>33</v>
      </c>
      <c r="F339" t="s">
        <v>34</v>
      </c>
      <c r="G339">
        <v>42</v>
      </c>
      <c r="H339">
        <v>78</v>
      </c>
      <c r="I339" t="s">
        <v>31</v>
      </c>
      <c r="J339" t="str">
        <f>IF(Student_Data[[#This Row],[Marks]] &gt;= 90,"A+",IF(Student_Data[[#This Row],[Marks]]&gt;=80,"A",IF(Student_Data[[#This Row],[Marks]]&gt;=70,"B",IF(Student_Data[[#This Row],[Marks]]&gt;=60,"C","F"))))</f>
        <v>F</v>
      </c>
      <c r="K339" t="str">
        <f>IF(Student_Data[[#This Row],[Marks]]&gt;=35,"Pass","Fail")</f>
        <v>Pass</v>
      </c>
    </row>
    <row r="340" spans="1:11" x14ac:dyDescent="0.3">
      <c r="A340" t="s">
        <v>461</v>
      </c>
      <c r="B340" t="s">
        <v>61</v>
      </c>
      <c r="C340" t="s">
        <v>25</v>
      </c>
      <c r="D340">
        <v>12</v>
      </c>
      <c r="E340" t="s">
        <v>33</v>
      </c>
      <c r="F340" t="s">
        <v>18</v>
      </c>
      <c r="G340">
        <v>79</v>
      </c>
      <c r="H340">
        <v>74</v>
      </c>
      <c r="I340" t="s">
        <v>31</v>
      </c>
      <c r="J340" t="str">
        <f>IF(Student_Data[[#This Row],[Marks]] &gt;= 90,"A+",IF(Student_Data[[#This Row],[Marks]]&gt;=80,"A",IF(Student_Data[[#This Row],[Marks]]&gt;=70,"B",IF(Student_Data[[#This Row],[Marks]]&gt;=60,"C","F"))))</f>
        <v>B</v>
      </c>
      <c r="K340" t="str">
        <f>IF(Student_Data[[#This Row],[Marks]]&gt;=35,"Pass","Fail")</f>
        <v>Pass</v>
      </c>
    </row>
    <row r="341" spans="1:11" x14ac:dyDescent="0.3">
      <c r="A341" t="s">
        <v>462</v>
      </c>
      <c r="B341" t="s">
        <v>63</v>
      </c>
      <c r="C341" t="s">
        <v>25</v>
      </c>
      <c r="D341">
        <v>12</v>
      </c>
      <c r="E341" t="s">
        <v>12</v>
      </c>
      <c r="F341" t="s">
        <v>18</v>
      </c>
      <c r="G341">
        <v>78</v>
      </c>
      <c r="H341">
        <v>93</v>
      </c>
      <c r="I341" t="s">
        <v>40</v>
      </c>
      <c r="J341" t="str">
        <f>IF(Student_Data[[#This Row],[Marks]] &gt;= 90,"A+",IF(Student_Data[[#This Row],[Marks]]&gt;=80,"A",IF(Student_Data[[#This Row],[Marks]]&gt;=70,"B",IF(Student_Data[[#This Row],[Marks]]&gt;=60,"C","F"))))</f>
        <v>B</v>
      </c>
      <c r="K341" t="str">
        <f>IF(Student_Data[[#This Row],[Marks]]&gt;=35,"Pass","Fail")</f>
        <v>Pass</v>
      </c>
    </row>
    <row r="342" spans="1:11" x14ac:dyDescent="0.3">
      <c r="A342" t="s">
        <v>463</v>
      </c>
      <c r="B342" t="s">
        <v>455</v>
      </c>
      <c r="C342" t="s">
        <v>11</v>
      </c>
      <c r="D342">
        <v>6</v>
      </c>
      <c r="E342" t="s">
        <v>17</v>
      </c>
      <c r="F342" t="s">
        <v>18</v>
      </c>
      <c r="G342">
        <v>88</v>
      </c>
      <c r="H342">
        <v>76</v>
      </c>
      <c r="I342" t="s">
        <v>19</v>
      </c>
      <c r="J342" t="str">
        <f>IF(Student_Data[[#This Row],[Marks]] &gt;= 90,"A+",IF(Student_Data[[#This Row],[Marks]]&gt;=80,"A",IF(Student_Data[[#This Row],[Marks]]&gt;=70,"B",IF(Student_Data[[#This Row],[Marks]]&gt;=60,"C","F"))))</f>
        <v>A</v>
      </c>
      <c r="K342" t="str">
        <f>IF(Student_Data[[#This Row],[Marks]]&gt;=35,"Pass","Fail")</f>
        <v>Pass</v>
      </c>
    </row>
    <row r="343" spans="1:11" x14ac:dyDescent="0.3">
      <c r="A343" t="s">
        <v>464</v>
      </c>
      <c r="B343" t="s">
        <v>176</v>
      </c>
      <c r="C343" t="s">
        <v>25</v>
      </c>
      <c r="D343">
        <v>8</v>
      </c>
      <c r="E343" t="s">
        <v>33</v>
      </c>
      <c r="F343" t="s">
        <v>34</v>
      </c>
      <c r="G343">
        <v>43</v>
      </c>
      <c r="H343">
        <v>98</v>
      </c>
      <c r="I343" t="s">
        <v>49</v>
      </c>
      <c r="J343" t="str">
        <f>IF(Student_Data[[#This Row],[Marks]] &gt;= 90,"A+",IF(Student_Data[[#This Row],[Marks]]&gt;=80,"A",IF(Student_Data[[#This Row],[Marks]]&gt;=70,"B",IF(Student_Data[[#This Row],[Marks]]&gt;=60,"C","F"))))</f>
        <v>F</v>
      </c>
      <c r="K343" t="str">
        <f>IF(Student_Data[[#This Row],[Marks]]&gt;=35,"Pass","Fail")</f>
        <v>Pass</v>
      </c>
    </row>
    <row r="344" spans="1:11" x14ac:dyDescent="0.3">
      <c r="A344" t="s">
        <v>465</v>
      </c>
      <c r="B344" t="s">
        <v>239</v>
      </c>
      <c r="C344" t="s">
        <v>11</v>
      </c>
      <c r="D344">
        <v>10</v>
      </c>
      <c r="E344" t="s">
        <v>33</v>
      </c>
      <c r="F344" t="s">
        <v>43</v>
      </c>
      <c r="G344">
        <v>50</v>
      </c>
      <c r="H344">
        <v>78</v>
      </c>
      <c r="I344" t="s">
        <v>14</v>
      </c>
      <c r="J344" t="str">
        <f>IF(Student_Data[[#This Row],[Marks]] &gt;= 90,"A+",IF(Student_Data[[#This Row],[Marks]]&gt;=80,"A",IF(Student_Data[[#This Row],[Marks]]&gt;=70,"B",IF(Student_Data[[#This Row],[Marks]]&gt;=60,"C","F"))))</f>
        <v>F</v>
      </c>
      <c r="K344" t="str">
        <f>IF(Student_Data[[#This Row],[Marks]]&gt;=35,"Pass","Fail")</f>
        <v>Pass</v>
      </c>
    </row>
    <row r="345" spans="1:11" x14ac:dyDescent="0.3">
      <c r="A345" t="s">
        <v>466</v>
      </c>
      <c r="B345" t="s">
        <v>239</v>
      </c>
      <c r="C345" t="s">
        <v>25</v>
      </c>
      <c r="D345">
        <v>12</v>
      </c>
      <c r="E345" t="s">
        <v>12</v>
      </c>
      <c r="F345" t="s">
        <v>18</v>
      </c>
      <c r="G345">
        <v>52</v>
      </c>
      <c r="H345">
        <v>71</v>
      </c>
      <c r="I345" t="s">
        <v>35</v>
      </c>
      <c r="J345" t="str">
        <f>IF(Student_Data[[#This Row],[Marks]] &gt;= 90,"A+",IF(Student_Data[[#This Row],[Marks]]&gt;=80,"A",IF(Student_Data[[#This Row],[Marks]]&gt;=70,"B",IF(Student_Data[[#This Row],[Marks]]&gt;=60,"C","F"))))</f>
        <v>F</v>
      </c>
      <c r="K345" t="str">
        <f>IF(Student_Data[[#This Row],[Marks]]&gt;=35,"Pass","Fail")</f>
        <v>Pass</v>
      </c>
    </row>
    <row r="346" spans="1:11" x14ac:dyDescent="0.3">
      <c r="A346" t="s">
        <v>467</v>
      </c>
      <c r="B346" t="s">
        <v>90</v>
      </c>
      <c r="C346" t="s">
        <v>25</v>
      </c>
      <c r="D346">
        <v>9</v>
      </c>
      <c r="E346" t="s">
        <v>33</v>
      </c>
      <c r="F346" t="s">
        <v>18</v>
      </c>
      <c r="G346">
        <v>71</v>
      </c>
      <c r="H346">
        <v>85</v>
      </c>
      <c r="I346" t="s">
        <v>46</v>
      </c>
      <c r="J346" t="str">
        <f>IF(Student_Data[[#This Row],[Marks]] &gt;= 90,"A+",IF(Student_Data[[#This Row],[Marks]]&gt;=80,"A",IF(Student_Data[[#This Row],[Marks]]&gt;=70,"B",IF(Student_Data[[#This Row],[Marks]]&gt;=60,"C","F"))))</f>
        <v>B</v>
      </c>
      <c r="K346" t="str">
        <f>IF(Student_Data[[#This Row],[Marks]]&gt;=35,"Pass","Fail")</f>
        <v>Pass</v>
      </c>
    </row>
    <row r="347" spans="1:11" x14ac:dyDescent="0.3">
      <c r="A347" t="s">
        <v>468</v>
      </c>
      <c r="B347" t="s">
        <v>30</v>
      </c>
      <c r="C347" t="s">
        <v>11</v>
      </c>
      <c r="D347">
        <v>12</v>
      </c>
      <c r="E347" t="s">
        <v>17</v>
      </c>
      <c r="F347" t="s">
        <v>22</v>
      </c>
      <c r="G347">
        <v>51</v>
      </c>
      <c r="H347">
        <v>62</v>
      </c>
      <c r="I347" t="s">
        <v>49</v>
      </c>
      <c r="J347" t="str">
        <f>IF(Student_Data[[#This Row],[Marks]] &gt;= 90,"A+",IF(Student_Data[[#This Row],[Marks]]&gt;=80,"A",IF(Student_Data[[#This Row],[Marks]]&gt;=70,"B",IF(Student_Data[[#This Row],[Marks]]&gt;=60,"C","F"))))</f>
        <v>F</v>
      </c>
      <c r="K347" t="str">
        <f>IF(Student_Data[[#This Row],[Marks]]&gt;=35,"Pass","Fail")</f>
        <v>Pass</v>
      </c>
    </row>
    <row r="348" spans="1:11" x14ac:dyDescent="0.3">
      <c r="A348" t="s">
        <v>469</v>
      </c>
      <c r="B348" t="s">
        <v>214</v>
      </c>
      <c r="C348" t="s">
        <v>25</v>
      </c>
      <c r="D348">
        <v>8</v>
      </c>
      <c r="E348" t="s">
        <v>17</v>
      </c>
      <c r="F348" t="s">
        <v>18</v>
      </c>
      <c r="G348">
        <v>39</v>
      </c>
      <c r="H348">
        <v>99</v>
      </c>
      <c r="I348" t="s">
        <v>49</v>
      </c>
      <c r="J348" t="str">
        <f>IF(Student_Data[[#This Row],[Marks]] &gt;= 90,"A+",IF(Student_Data[[#This Row],[Marks]]&gt;=80,"A",IF(Student_Data[[#This Row],[Marks]]&gt;=70,"B",IF(Student_Data[[#This Row],[Marks]]&gt;=60,"C","F"))))</f>
        <v>F</v>
      </c>
      <c r="K348" t="str">
        <f>IF(Student_Data[[#This Row],[Marks]]&gt;=35,"Pass","Fail")</f>
        <v>Pass</v>
      </c>
    </row>
    <row r="349" spans="1:11" x14ac:dyDescent="0.3">
      <c r="A349" t="s">
        <v>470</v>
      </c>
      <c r="B349" t="s">
        <v>171</v>
      </c>
      <c r="C349" t="s">
        <v>25</v>
      </c>
      <c r="D349">
        <v>12</v>
      </c>
      <c r="E349" t="s">
        <v>33</v>
      </c>
      <c r="F349" t="s">
        <v>34</v>
      </c>
      <c r="G349">
        <v>58</v>
      </c>
      <c r="H349">
        <v>93</v>
      </c>
      <c r="I349" t="s">
        <v>14</v>
      </c>
      <c r="J349" t="str">
        <f>IF(Student_Data[[#This Row],[Marks]] &gt;= 90,"A+",IF(Student_Data[[#This Row],[Marks]]&gt;=80,"A",IF(Student_Data[[#This Row],[Marks]]&gt;=70,"B",IF(Student_Data[[#This Row],[Marks]]&gt;=60,"C","F"))))</f>
        <v>F</v>
      </c>
      <c r="K349" t="str">
        <f>IF(Student_Data[[#This Row],[Marks]]&gt;=35,"Pass","Fail")</f>
        <v>Pass</v>
      </c>
    </row>
    <row r="350" spans="1:11" x14ac:dyDescent="0.3">
      <c r="A350" t="s">
        <v>471</v>
      </c>
      <c r="B350" t="s">
        <v>42</v>
      </c>
      <c r="C350" t="s">
        <v>11</v>
      </c>
      <c r="D350">
        <v>12</v>
      </c>
      <c r="E350" t="s">
        <v>33</v>
      </c>
      <c r="F350" t="s">
        <v>34</v>
      </c>
      <c r="G350">
        <v>48</v>
      </c>
      <c r="H350">
        <v>73</v>
      </c>
      <c r="I350" t="s">
        <v>19</v>
      </c>
      <c r="J350" t="str">
        <f>IF(Student_Data[[#This Row],[Marks]] &gt;= 90,"A+",IF(Student_Data[[#This Row],[Marks]]&gt;=80,"A",IF(Student_Data[[#This Row],[Marks]]&gt;=70,"B",IF(Student_Data[[#This Row],[Marks]]&gt;=60,"C","F"))))</f>
        <v>F</v>
      </c>
      <c r="K350" t="str">
        <f>IF(Student_Data[[#This Row],[Marks]]&gt;=35,"Pass","Fail")</f>
        <v>Pass</v>
      </c>
    </row>
    <row r="351" spans="1:11" x14ac:dyDescent="0.3">
      <c r="A351" t="s">
        <v>472</v>
      </c>
      <c r="B351" t="s">
        <v>176</v>
      </c>
      <c r="C351" t="s">
        <v>11</v>
      </c>
      <c r="D351">
        <v>7</v>
      </c>
      <c r="E351" t="s">
        <v>12</v>
      </c>
      <c r="F351" t="s">
        <v>43</v>
      </c>
      <c r="G351">
        <v>71</v>
      </c>
      <c r="H351">
        <v>83</v>
      </c>
      <c r="I351" t="s">
        <v>49</v>
      </c>
      <c r="J351" t="str">
        <f>IF(Student_Data[[#This Row],[Marks]] &gt;= 90,"A+",IF(Student_Data[[#This Row],[Marks]]&gt;=80,"A",IF(Student_Data[[#This Row],[Marks]]&gt;=70,"B",IF(Student_Data[[#This Row],[Marks]]&gt;=60,"C","F"))))</f>
        <v>B</v>
      </c>
      <c r="K351" t="str">
        <f>IF(Student_Data[[#This Row],[Marks]]&gt;=35,"Pass","Fail")</f>
        <v>Pass</v>
      </c>
    </row>
    <row r="352" spans="1:11" x14ac:dyDescent="0.3">
      <c r="A352" t="s">
        <v>473</v>
      </c>
      <c r="B352" t="s">
        <v>42</v>
      </c>
      <c r="C352" t="s">
        <v>25</v>
      </c>
      <c r="D352">
        <v>12</v>
      </c>
      <c r="E352" t="s">
        <v>12</v>
      </c>
      <c r="F352" t="s">
        <v>22</v>
      </c>
      <c r="G352">
        <v>46</v>
      </c>
      <c r="H352">
        <v>86</v>
      </c>
      <c r="I352" t="s">
        <v>14</v>
      </c>
      <c r="J352" t="str">
        <f>IF(Student_Data[[#This Row],[Marks]] &gt;= 90,"A+",IF(Student_Data[[#This Row],[Marks]]&gt;=80,"A",IF(Student_Data[[#This Row],[Marks]]&gt;=70,"B",IF(Student_Data[[#This Row],[Marks]]&gt;=60,"C","F"))))</f>
        <v>F</v>
      </c>
      <c r="K352" t="str">
        <f>IF(Student_Data[[#This Row],[Marks]]&gt;=35,"Pass","Fail")</f>
        <v>Pass</v>
      </c>
    </row>
    <row r="353" spans="1:11" x14ac:dyDescent="0.3">
      <c r="A353" t="s">
        <v>474</v>
      </c>
      <c r="B353" t="s">
        <v>68</v>
      </c>
      <c r="C353" t="s">
        <v>11</v>
      </c>
      <c r="D353">
        <v>12</v>
      </c>
      <c r="E353" t="s">
        <v>17</v>
      </c>
      <c r="F353" t="s">
        <v>22</v>
      </c>
      <c r="G353">
        <v>69</v>
      </c>
      <c r="H353">
        <v>85</v>
      </c>
      <c r="I353" t="s">
        <v>14</v>
      </c>
      <c r="J353" t="str">
        <f>IF(Student_Data[[#This Row],[Marks]] &gt;= 90,"A+",IF(Student_Data[[#This Row],[Marks]]&gt;=80,"A",IF(Student_Data[[#This Row],[Marks]]&gt;=70,"B",IF(Student_Data[[#This Row],[Marks]]&gt;=60,"C","F"))))</f>
        <v>C</v>
      </c>
      <c r="K353" t="str">
        <f>IF(Student_Data[[#This Row],[Marks]]&gt;=35,"Pass","Fail")</f>
        <v>Pass</v>
      </c>
    </row>
    <row r="354" spans="1:11" x14ac:dyDescent="0.3">
      <c r="A354" t="s">
        <v>475</v>
      </c>
      <c r="B354" t="s">
        <v>109</v>
      </c>
      <c r="C354" t="s">
        <v>11</v>
      </c>
      <c r="D354">
        <v>6</v>
      </c>
      <c r="E354" t="s">
        <v>12</v>
      </c>
      <c r="F354" t="s">
        <v>13</v>
      </c>
      <c r="G354">
        <v>76</v>
      </c>
      <c r="H354">
        <v>91</v>
      </c>
      <c r="I354" t="s">
        <v>14</v>
      </c>
      <c r="J354" t="str">
        <f>IF(Student_Data[[#This Row],[Marks]] &gt;= 90,"A+",IF(Student_Data[[#This Row],[Marks]]&gt;=80,"A",IF(Student_Data[[#This Row],[Marks]]&gt;=70,"B",IF(Student_Data[[#This Row],[Marks]]&gt;=60,"C","F"))))</f>
        <v>B</v>
      </c>
      <c r="K354" t="str">
        <f>IF(Student_Data[[#This Row],[Marks]]&gt;=35,"Pass","Fail")</f>
        <v>Pass</v>
      </c>
    </row>
    <row r="355" spans="1:11" x14ac:dyDescent="0.3">
      <c r="A355" t="s">
        <v>476</v>
      </c>
      <c r="B355" t="s">
        <v>395</v>
      </c>
      <c r="C355" t="s">
        <v>25</v>
      </c>
      <c r="D355">
        <v>12</v>
      </c>
      <c r="E355" t="s">
        <v>12</v>
      </c>
      <c r="F355" t="s">
        <v>26</v>
      </c>
      <c r="G355">
        <v>39</v>
      </c>
      <c r="H355">
        <v>82</v>
      </c>
      <c r="I355" t="s">
        <v>49</v>
      </c>
      <c r="J355" t="str">
        <f>IF(Student_Data[[#This Row],[Marks]] &gt;= 90,"A+",IF(Student_Data[[#This Row],[Marks]]&gt;=80,"A",IF(Student_Data[[#This Row],[Marks]]&gt;=70,"B",IF(Student_Data[[#This Row],[Marks]]&gt;=60,"C","F"))))</f>
        <v>F</v>
      </c>
      <c r="K355" t="str">
        <f>IF(Student_Data[[#This Row],[Marks]]&gt;=35,"Pass","Fail")</f>
        <v>Pass</v>
      </c>
    </row>
    <row r="356" spans="1:11" x14ac:dyDescent="0.3">
      <c r="A356" t="s">
        <v>477</v>
      </c>
      <c r="B356" t="s">
        <v>395</v>
      </c>
      <c r="C356" t="s">
        <v>11</v>
      </c>
      <c r="D356">
        <v>7</v>
      </c>
      <c r="E356" t="s">
        <v>17</v>
      </c>
      <c r="F356" t="s">
        <v>22</v>
      </c>
      <c r="G356">
        <v>83</v>
      </c>
      <c r="H356">
        <v>72</v>
      </c>
      <c r="I356" t="s">
        <v>19</v>
      </c>
      <c r="J356" t="str">
        <f>IF(Student_Data[[#This Row],[Marks]] &gt;= 90,"A+",IF(Student_Data[[#This Row],[Marks]]&gt;=80,"A",IF(Student_Data[[#This Row],[Marks]]&gt;=70,"B",IF(Student_Data[[#This Row],[Marks]]&gt;=60,"C","F"))))</f>
        <v>A</v>
      </c>
      <c r="K356" t="str">
        <f>IF(Student_Data[[#This Row],[Marks]]&gt;=35,"Pass","Fail")</f>
        <v>Pass</v>
      </c>
    </row>
    <row r="357" spans="1:11" x14ac:dyDescent="0.3">
      <c r="A357" t="s">
        <v>478</v>
      </c>
      <c r="B357" t="s">
        <v>112</v>
      </c>
      <c r="C357" t="s">
        <v>25</v>
      </c>
      <c r="D357">
        <v>6</v>
      </c>
      <c r="E357" t="s">
        <v>17</v>
      </c>
      <c r="F357" t="s">
        <v>34</v>
      </c>
      <c r="G357">
        <v>98</v>
      </c>
      <c r="H357">
        <v>66</v>
      </c>
      <c r="I357" t="s">
        <v>19</v>
      </c>
      <c r="J357" t="str">
        <f>IF(Student_Data[[#This Row],[Marks]] &gt;= 90,"A+",IF(Student_Data[[#This Row],[Marks]]&gt;=80,"A",IF(Student_Data[[#This Row],[Marks]]&gt;=70,"B",IF(Student_Data[[#This Row],[Marks]]&gt;=60,"C","F"))))</f>
        <v>A+</v>
      </c>
      <c r="K357" t="str">
        <f>IF(Student_Data[[#This Row],[Marks]]&gt;=35,"Pass","Fail")</f>
        <v>Pass</v>
      </c>
    </row>
    <row r="358" spans="1:11" x14ac:dyDescent="0.3">
      <c r="A358" t="s">
        <v>479</v>
      </c>
      <c r="B358" t="s">
        <v>102</v>
      </c>
      <c r="C358" t="s">
        <v>11</v>
      </c>
      <c r="D358">
        <v>9</v>
      </c>
      <c r="E358" t="s">
        <v>33</v>
      </c>
      <c r="F358" t="s">
        <v>18</v>
      </c>
      <c r="G358">
        <v>43</v>
      </c>
      <c r="H358">
        <v>83</v>
      </c>
      <c r="I358" t="s">
        <v>31</v>
      </c>
      <c r="J358" t="str">
        <f>IF(Student_Data[[#This Row],[Marks]] &gt;= 90,"A+",IF(Student_Data[[#This Row],[Marks]]&gt;=80,"A",IF(Student_Data[[#This Row],[Marks]]&gt;=70,"B",IF(Student_Data[[#This Row],[Marks]]&gt;=60,"C","F"))))</f>
        <v>F</v>
      </c>
      <c r="K358" t="str">
        <f>IF(Student_Data[[#This Row],[Marks]]&gt;=35,"Pass","Fail")</f>
        <v>Pass</v>
      </c>
    </row>
    <row r="359" spans="1:11" x14ac:dyDescent="0.3">
      <c r="A359" t="s">
        <v>480</v>
      </c>
      <c r="B359" t="s">
        <v>242</v>
      </c>
      <c r="C359" t="s">
        <v>11</v>
      </c>
      <c r="D359">
        <v>6</v>
      </c>
      <c r="E359" t="s">
        <v>17</v>
      </c>
      <c r="F359" t="s">
        <v>22</v>
      </c>
      <c r="G359">
        <v>72</v>
      </c>
      <c r="H359">
        <v>61</v>
      </c>
      <c r="I359" t="s">
        <v>19</v>
      </c>
      <c r="J359" t="str">
        <f>IF(Student_Data[[#This Row],[Marks]] &gt;= 90,"A+",IF(Student_Data[[#This Row],[Marks]]&gt;=80,"A",IF(Student_Data[[#This Row],[Marks]]&gt;=70,"B",IF(Student_Data[[#This Row],[Marks]]&gt;=60,"C","F"))))</f>
        <v>B</v>
      </c>
      <c r="K359" t="str">
        <f>IF(Student_Data[[#This Row],[Marks]]&gt;=35,"Pass","Fail")</f>
        <v>Pass</v>
      </c>
    </row>
    <row r="360" spans="1:11" x14ac:dyDescent="0.3">
      <c r="A360" t="s">
        <v>481</v>
      </c>
      <c r="B360" t="s">
        <v>370</v>
      </c>
      <c r="C360" t="s">
        <v>11</v>
      </c>
      <c r="D360">
        <v>12</v>
      </c>
      <c r="E360" t="s">
        <v>33</v>
      </c>
      <c r="F360" t="s">
        <v>13</v>
      </c>
      <c r="G360">
        <v>69</v>
      </c>
      <c r="H360">
        <v>87</v>
      </c>
      <c r="I360" t="s">
        <v>35</v>
      </c>
      <c r="J360" t="str">
        <f>IF(Student_Data[[#This Row],[Marks]] &gt;= 90,"A+",IF(Student_Data[[#This Row],[Marks]]&gt;=80,"A",IF(Student_Data[[#This Row],[Marks]]&gt;=70,"B",IF(Student_Data[[#This Row],[Marks]]&gt;=60,"C","F"))))</f>
        <v>C</v>
      </c>
      <c r="K360" t="str">
        <f>IF(Student_Data[[#This Row],[Marks]]&gt;=35,"Pass","Fail")</f>
        <v>Pass</v>
      </c>
    </row>
    <row r="361" spans="1:11" x14ac:dyDescent="0.3">
      <c r="A361" t="s">
        <v>482</v>
      </c>
      <c r="B361" t="s">
        <v>57</v>
      </c>
      <c r="C361" t="s">
        <v>11</v>
      </c>
      <c r="D361">
        <v>9</v>
      </c>
      <c r="E361" t="s">
        <v>12</v>
      </c>
      <c r="F361" t="s">
        <v>43</v>
      </c>
      <c r="G361">
        <v>93</v>
      </c>
      <c r="H361">
        <v>87</v>
      </c>
      <c r="I361" t="s">
        <v>31</v>
      </c>
      <c r="J361" t="str">
        <f>IF(Student_Data[[#This Row],[Marks]] &gt;= 90,"A+",IF(Student_Data[[#This Row],[Marks]]&gt;=80,"A",IF(Student_Data[[#This Row],[Marks]]&gt;=70,"B",IF(Student_Data[[#This Row],[Marks]]&gt;=60,"C","F"))))</f>
        <v>A+</v>
      </c>
      <c r="K361" t="str">
        <f>IF(Student_Data[[#This Row],[Marks]]&gt;=35,"Pass","Fail")</f>
        <v>Pass</v>
      </c>
    </row>
    <row r="362" spans="1:11" x14ac:dyDescent="0.3">
      <c r="A362" t="s">
        <v>483</v>
      </c>
      <c r="B362" t="s">
        <v>232</v>
      </c>
      <c r="C362" t="s">
        <v>11</v>
      </c>
      <c r="D362">
        <v>8</v>
      </c>
      <c r="E362" t="s">
        <v>12</v>
      </c>
      <c r="F362" t="s">
        <v>22</v>
      </c>
      <c r="G362">
        <v>75</v>
      </c>
      <c r="H362">
        <v>68</v>
      </c>
      <c r="I362" t="s">
        <v>31</v>
      </c>
      <c r="J362" t="str">
        <f>IF(Student_Data[[#This Row],[Marks]] &gt;= 90,"A+",IF(Student_Data[[#This Row],[Marks]]&gt;=80,"A",IF(Student_Data[[#This Row],[Marks]]&gt;=70,"B",IF(Student_Data[[#This Row],[Marks]]&gt;=60,"C","F"))))</f>
        <v>B</v>
      </c>
      <c r="K362" t="str">
        <f>IF(Student_Data[[#This Row],[Marks]]&gt;=35,"Pass","Fail")</f>
        <v>Pass</v>
      </c>
    </row>
    <row r="363" spans="1:11" x14ac:dyDescent="0.3">
      <c r="A363" t="s">
        <v>484</v>
      </c>
      <c r="B363" t="s">
        <v>51</v>
      </c>
      <c r="C363" t="s">
        <v>25</v>
      </c>
      <c r="D363">
        <v>6</v>
      </c>
      <c r="E363" t="s">
        <v>12</v>
      </c>
      <c r="F363" t="s">
        <v>26</v>
      </c>
      <c r="G363">
        <v>40</v>
      </c>
      <c r="H363">
        <v>80</v>
      </c>
      <c r="I363" t="s">
        <v>14</v>
      </c>
      <c r="J363" t="str">
        <f>IF(Student_Data[[#This Row],[Marks]] &gt;= 90,"A+",IF(Student_Data[[#This Row],[Marks]]&gt;=80,"A",IF(Student_Data[[#This Row],[Marks]]&gt;=70,"B",IF(Student_Data[[#This Row],[Marks]]&gt;=60,"C","F"))))</f>
        <v>F</v>
      </c>
      <c r="K363" t="str">
        <f>IF(Student_Data[[#This Row],[Marks]]&gt;=35,"Pass","Fail")</f>
        <v>Pass</v>
      </c>
    </row>
    <row r="364" spans="1:11" x14ac:dyDescent="0.3">
      <c r="A364" t="s">
        <v>485</v>
      </c>
      <c r="B364" t="s">
        <v>135</v>
      </c>
      <c r="C364" t="s">
        <v>25</v>
      </c>
      <c r="D364">
        <v>11</v>
      </c>
      <c r="E364" t="s">
        <v>12</v>
      </c>
      <c r="F364" t="s">
        <v>43</v>
      </c>
      <c r="G364">
        <v>49</v>
      </c>
      <c r="H364">
        <v>83</v>
      </c>
      <c r="I364" t="s">
        <v>35</v>
      </c>
      <c r="J364" t="str">
        <f>IF(Student_Data[[#This Row],[Marks]] &gt;= 90,"A+",IF(Student_Data[[#This Row],[Marks]]&gt;=80,"A",IF(Student_Data[[#This Row],[Marks]]&gt;=70,"B",IF(Student_Data[[#This Row],[Marks]]&gt;=60,"C","F"))))</f>
        <v>F</v>
      </c>
      <c r="K364" t="str">
        <f>IF(Student_Data[[#This Row],[Marks]]&gt;=35,"Pass","Fail")</f>
        <v>Pass</v>
      </c>
    </row>
    <row r="365" spans="1:11" x14ac:dyDescent="0.3">
      <c r="A365" t="s">
        <v>486</v>
      </c>
      <c r="B365" t="s">
        <v>200</v>
      </c>
      <c r="C365" t="s">
        <v>25</v>
      </c>
      <c r="D365">
        <v>6</v>
      </c>
      <c r="E365" t="s">
        <v>33</v>
      </c>
      <c r="F365" t="s">
        <v>43</v>
      </c>
      <c r="G365">
        <v>71</v>
      </c>
      <c r="H365">
        <v>65</v>
      </c>
      <c r="I365" t="s">
        <v>14</v>
      </c>
      <c r="J365" t="str">
        <f>IF(Student_Data[[#This Row],[Marks]] &gt;= 90,"A+",IF(Student_Data[[#This Row],[Marks]]&gt;=80,"A",IF(Student_Data[[#This Row],[Marks]]&gt;=70,"B",IF(Student_Data[[#This Row],[Marks]]&gt;=60,"C","F"))))</f>
        <v>B</v>
      </c>
      <c r="K365" t="str">
        <f>IF(Student_Data[[#This Row],[Marks]]&gt;=35,"Pass","Fail")</f>
        <v>Pass</v>
      </c>
    </row>
    <row r="366" spans="1:11" x14ac:dyDescent="0.3">
      <c r="A366" t="s">
        <v>487</v>
      </c>
      <c r="B366" t="s">
        <v>182</v>
      </c>
      <c r="C366" t="s">
        <v>25</v>
      </c>
      <c r="D366">
        <v>10</v>
      </c>
      <c r="E366" t="s">
        <v>12</v>
      </c>
      <c r="F366" t="s">
        <v>13</v>
      </c>
      <c r="G366">
        <v>89</v>
      </c>
      <c r="H366">
        <v>77</v>
      </c>
      <c r="I366" t="s">
        <v>40</v>
      </c>
      <c r="J366" t="str">
        <f>IF(Student_Data[[#This Row],[Marks]] &gt;= 90,"A+",IF(Student_Data[[#This Row],[Marks]]&gt;=80,"A",IF(Student_Data[[#This Row],[Marks]]&gt;=70,"B",IF(Student_Data[[#This Row],[Marks]]&gt;=60,"C","F"))))</f>
        <v>A</v>
      </c>
      <c r="K366" t="str">
        <f>IF(Student_Data[[#This Row],[Marks]]&gt;=35,"Pass","Fail")</f>
        <v>Pass</v>
      </c>
    </row>
    <row r="367" spans="1:11" x14ac:dyDescent="0.3">
      <c r="A367" t="s">
        <v>488</v>
      </c>
      <c r="B367" t="s">
        <v>370</v>
      </c>
      <c r="C367" t="s">
        <v>11</v>
      </c>
      <c r="D367">
        <v>8</v>
      </c>
      <c r="E367" t="s">
        <v>33</v>
      </c>
      <c r="F367" t="s">
        <v>18</v>
      </c>
      <c r="G367">
        <v>75</v>
      </c>
      <c r="H367">
        <v>76</v>
      </c>
      <c r="I367" t="s">
        <v>35</v>
      </c>
      <c r="J367" t="str">
        <f>IF(Student_Data[[#This Row],[Marks]] &gt;= 90,"A+",IF(Student_Data[[#This Row],[Marks]]&gt;=80,"A",IF(Student_Data[[#This Row],[Marks]]&gt;=70,"B",IF(Student_Data[[#This Row],[Marks]]&gt;=60,"C","F"))))</f>
        <v>B</v>
      </c>
      <c r="K367" t="str">
        <f>IF(Student_Data[[#This Row],[Marks]]&gt;=35,"Pass","Fail")</f>
        <v>Pass</v>
      </c>
    </row>
    <row r="368" spans="1:11" x14ac:dyDescent="0.3">
      <c r="A368" t="s">
        <v>489</v>
      </c>
      <c r="B368" t="s">
        <v>457</v>
      </c>
      <c r="C368" t="s">
        <v>25</v>
      </c>
      <c r="D368">
        <v>8</v>
      </c>
      <c r="E368" t="s">
        <v>12</v>
      </c>
      <c r="F368" t="s">
        <v>18</v>
      </c>
      <c r="G368">
        <v>84</v>
      </c>
      <c r="H368">
        <v>97</v>
      </c>
      <c r="I368" t="s">
        <v>19</v>
      </c>
      <c r="J368" t="str">
        <f>IF(Student_Data[[#This Row],[Marks]] &gt;= 90,"A+",IF(Student_Data[[#This Row],[Marks]]&gt;=80,"A",IF(Student_Data[[#This Row],[Marks]]&gt;=70,"B",IF(Student_Data[[#This Row],[Marks]]&gt;=60,"C","F"))))</f>
        <v>A</v>
      </c>
      <c r="K368" t="str">
        <f>IF(Student_Data[[#This Row],[Marks]]&gt;=35,"Pass","Fail")</f>
        <v>Pass</v>
      </c>
    </row>
    <row r="369" spans="1:11" x14ac:dyDescent="0.3">
      <c r="A369" t="s">
        <v>490</v>
      </c>
      <c r="B369" t="s">
        <v>370</v>
      </c>
      <c r="C369" t="s">
        <v>25</v>
      </c>
      <c r="D369">
        <v>8</v>
      </c>
      <c r="E369" t="s">
        <v>33</v>
      </c>
      <c r="F369" t="s">
        <v>18</v>
      </c>
      <c r="G369">
        <v>87</v>
      </c>
      <c r="H369">
        <v>89</v>
      </c>
      <c r="I369" t="s">
        <v>31</v>
      </c>
      <c r="J369" t="str">
        <f>IF(Student_Data[[#This Row],[Marks]] &gt;= 90,"A+",IF(Student_Data[[#This Row],[Marks]]&gt;=80,"A",IF(Student_Data[[#This Row],[Marks]]&gt;=70,"B",IF(Student_Data[[#This Row],[Marks]]&gt;=60,"C","F"))))</f>
        <v>A</v>
      </c>
      <c r="K369" t="str">
        <f>IF(Student_Data[[#This Row],[Marks]]&gt;=35,"Pass","Fail")</f>
        <v>Pass</v>
      </c>
    </row>
    <row r="370" spans="1:11" x14ac:dyDescent="0.3">
      <c r="A370" t="s">
        <v>491</v>
      </c>
      <c r="B370" t="s">
        <v>66</v>
      </c>
      <c r="C370" t="s">
        <v>11</v>
      </c>
      <c r="D370">
        <v>11</v>
      </c>
      <c r="E370" t="s">
        <v>33</v>
      </c>
      <c r="F370" t="s">
        <v>43</v>
      </c>
      <c r="G370">
        <v>35</v>
      </c>
      <c r="H370">
        <v>91</v>
      </c>
      <c r="I370" t="s">
        <v>14</v>
      </c>
      <c r="J370" t="str">
        <f>IF(Student_Data[[#This Row],[Marks]] &gt;= 90,"A+",IF(Student_Data[[#This Row],[Marks]]&gt;=80,"A",IF(Student_Data[[#This Row],[Marks]]&gt;=70,"B",IF(Student_Data[[#This Row],[Marks]]&gt;=60,"C","F"))))</f>
        <v>F</v>
      </c>
      <c r="K370" t="str">
        <f>IF(Student_Data[[#This Row],[Marks]]&gt;=35,"Pass","Fail")</f>
        <v>Pass</v>
      </c>
    </row>
    <row r="371" spans="1:11" x14ac:dyDescent="0.3">
      <c r="A371" t="s">
        <v>492</v>
      </c>
      <c r="B371" t="s">
        <v>135</v>
      </c>
      <c r="C371" t="s">
        <v>25</v>
      </c>
      <c r="D371">
        <v>6</v>
      </c>
      <c r="E371" t="s">
        <v>12</v>
      </c>
      <c r="F371" t="s">
        <v>18</v>
      </c>
      <c r="G371">
        <v>37</v>
      </c>
      <c r="H371">
        <v>60</v>
      </c>
      <c r="I371" t="s">
        <v>49</v>
      </c>
      <c r="J371" t="str">
        <f>IF(Student_Data[[#This Row],[Marks]] &gt;= 90,"A+",IF(Student_Data[[#This Row],[Marks]]&gt;=80,"A",IF(Student_Data[[#This Row],[Marks]]&gt;=70,"B",IF(Student_Data[[#This Row],[Marks]]&gt;=60,"C","F"))))</f>
        <v>F</v>
      </c>
      <c r="K371" t="str">
        <f>IF(Student_Data[[#This Row],[Marks]]&gt;=35,"Pass","Fail")</f>
        <v>Pass</v>
      </c>
    </row>
    <row r="372" spans="1:11" x14ac:dyDescent="0.3">
      <c r="A372" t="s">
        <v>493</v>
      </c>
      <c r="B372" t="s">
        <v>126</v>
      </c>
      <c r="C372" t="s">
        <v>25</v>
      </c>
      <c r="D372">
        <v>7</v>
      </c>
      <c r="E372" t="s">
        <v>12</v>
      </c>
      <c r="F372" t="s">
        <v>43</v>
      </c>
      <c r="G372">
        <v>86</v>
      </c>
      <c r="H372">
        <v>73</v>
      </c>
      <c r="I372" t="s">
        <v>40</v>
      </c>
      <c r="J372" t="str">
        <f>IF(Student_Data[[#This Row],[Marks]] &gt;= 90,"A+",IF(Student_Data[[#This Row],[Marks]]&gt;=80,"A",IF(Student_Data[[#This Row],[Marks]]&gt;=70,"B",IF(Student_Data[[#This Row],[Marks]]&gt;=60,"C","F"))))</f>
        <v>A</v>
      </c>
      <c r="K372" t="str">
        <f>IF(Student_Data[[#This Row],[Marks]]&gt;=35,"Pass","Fail")</f>
        <v>Pass</v>
      </c>
    </row>
    <row r="373" spans="1:11" x14ac:dyDescent="0.3">
      <c r="A373" t="s">
        <v>494</v>
      </c>
      <c r="B373" t="s">
        <v>158</v>
      </c>
      <c r="C373" t="s">
        <v>11</v>
      </c>
      <c r="D373">
        <v>10</v>
      </c>
      <c r="E373" t="s">
        <v>12</v>
      </c>
      <c r="F373" t="s">
        <v>43</v>
      </c>
      <c r="G373">
        <v>42</v>
      </c>
      <c r="H373">
        <v>83</v>
      </c>
      <c r="I373" t="s">
        <v>14</v>
      </c>
      <c r="J373" t="str">
        <f>IF(Student_Data[[#This Row],[Marks]] &gt;= 90,"A+",IF(Student_Data[[#This Row],[Marks]]&gt;=80,"A",IF(Student_Data[[#This Row],[Marks]]&gt;=70,"B",IF(Student_Data[[#This Row],[Marks]]&gt;=60,"C","F"))))</f>
        <v>F</v>
      </c>
      <c r="K373" t="str">
        <f>IF(Student_Data[[#This Row],[Marks]]&gt;=35,"Pass","Fail")</f>
        <v>Pass</v>
      </c>
    </row>
    <row r="374" spans="1:11" x14ac:dyDescent="0.3">
      <c r="A374" t="s">
        <v>495</v>
      </c>
      <c r="B374" t="s">
        <v>452</v>
      </c>
      <c r="C374" t="s">
        <v>25</v>
      </c>
      <c r="D374">
        <v>7</v>
      </c>
      <c r="E374" t="s">
        <v>17</v>
      </c>
      <c r="F374" t="s">
        <v>22</v>
      </c>
      <c r="G374">
        <v>63</v>
      </c>
      <c r="H374">
        <v>65</v>
      </c>
      <c r="I374" t="s">
        <v>31</v>
      </c>
      <c r="J374" t="str">
        <f>IF(Student_Data[[#This Row],[Marks]] &gt;= 90,"A+",IF(Student_Data[[#This Row],[Marks]]&gt;=80,"A",IF(Student_Data[[#This Row],[Marks]]&gt;=70,"B",IF(Student_Data[[#This Row],[Marks]]&gt;=60,"C","F"))))</f>
        <v>C</v>
      </c>
      <c r="K374" t="str">
        <f>IF(Student_Data[[#This Row],[Marks]]&gt;=35,"Pass","Fail")</f>
        <v>Pass</v>
      </c>
    </row>
    <row r="375" spans="1:11" x14ac:dyDescent="0.3">
      <c r="A375" t="s">
        <v>496</v>
      </c>
      <c r="B375" t="s">
        <v>118</v>
      </c>
      <c r="C375" t="s">
        <v>25</v>
      </c>
      <c r="D375">
        <v>8</v>
      </c>
      <c r="E375" t="s">
        <v>17</v>
      </c>
      <c r="F375" t="s">
        <v>26</v>
      </c>
      <c r="G375">
        <v>77</v>
      </c>
      <c r="H375">
        <v>98</v>
      </c>
      <c r="I375" t="s">
        <v>40</v>
      </c>
      <c r="J375" t="str">
        <f>IF(Student_Data[[#This Row],[Marks]] &gt;= 90,"A+",IF(Student_Data[[#This Row],[Marks]]&gt;=80,"A",IF(Student_Data[[#This Row],[Marks]]&gt;=70,"B",IF(Student_Data[[#This Row],[Marks]]&gt;=60,"C","F"))))</f>
        <v>B</v>
      </c>
      <c r="K375" t="str">
        <f>IF(Student_Data[[#This Row],[Marks]]&gt;=35,"Pass","Fail")</f>
        <v>Pass</v>
      </c>
    </row>
    <row r="376" spans="1:11" x14ac:dyDescent="0.3">
      <c r="A376" t="s">
        <v>497</v>
      </c>
      <c r="B376" t="s">
        <v>123</v>
      </c>
      <c r="C376" t="s">
        <v>11</v>
      </c>
      <c r="D376">
        <v>7</v>
      </c>
      <c r="E376" t="s">
        <v>12</v>
      </c>
      <c r="F376" t="s">
        <v>22</v>
      </c>
      <c r="G376">
        <v>37</v>
      </c>
      <c r="H376">
        <v>68</v>
      </c>
      <c r="I376" t="s">
        <v>19</v>
      </c>
      <c r="J376" t="str">
        <f>IF(Student_Data[[#This Row],[Marks]] &gt;= 90,"A+",IF(Student_Data[[#This Row],[Marks]]&gt;=80,"A",IF(Student_Data[[#This Row],[Marks]]&gt;=70,"B",IF(Student_Data[[#This Row],[Marks]]&gt;=60,"C","F"))))</f>
        <v>F</v>
      </c>
      <c r="K376" t="str">
        <f>IF(Student_Data[[#This Row],[Marks]]&gt;=35,"Pass","Fail")</f>
        <v>Pass</v>
      </c>
    </row>
    <row r="377" spans="1:11" x14ac:dyDescent="0.3">
      <c r="A377" t="s">
        <v>498</v>
      </c>
      <c r="B377" t="s">
        <v>75</v>
      </c>
      <c r="C377" t="s">
        <v>25</v>
      </c>
      <c r="D377">
        <v>6</v>
      </c>
      <c r="E377" t="s">
        <v>17</v>
      </c>
      <c r="F377" t="s">
        <v>13</v>
      </c>
      <c r="G377">
        <v>88</v>
      </c>
      <c r="H377">
        <v>72</v>
      </c>
      <c r="I377" t="s">
        <v>31</v>
      </c>
      <c r="J377" t="str">
        <f>IF(Student_Data[[#This Row],[Marks]] &gt;= 90,"A+",IF(Student_Data[[#This Row],[Marks]]&gt;=80,"A",IF(Student_Data[[#This Row],[Marks]]&gt;=70,"B",IF(Student_Data[[#This Row],[Marks]]&gt;=60,"C","F"))))</f>
        <v>A</v>
      </c>
      <c r="K377" t="str">
        <f>IF(Student_Data[[#This Row],[Marks]]&gt;=35,"Pass","Fail")</f>
        <v>Pass</v>
      </c>
    </row>
    <row r="378" spans="1:11" x14ac:dyDescent="0.3">
      <c r="A378" t="s">
        <v>499</v>
      </c>
      <c r="B378" t="s">
        <v>28</v>
      </c>
      <c r="C378" t="s">
        <v>25</v>
      </c>
      <c r="D378">
        <v>9</v>
      </c>
      <c r="E378" t="s">
        <v>12</v>
      </c>
      <c r="F378" t="s">
        <v>22</v>
      </c>
      <c r="G378">
        <v>80</v>
      </c>
      <c r="H378">
        <v>95</v>
      </c>
      <c r="I378" t="s">
        <v>35</v>
      </c>
      <c r="J378" t="str">
        <f>IF(Student_Data[[#This Row],[Marks]] &gt;= 90,"A+",IF(Student_Data[[#This Row],[Marks]]&gt;=80,"A",IF(Student_Data[[#This Row],[Marks]]&gt;=70,"B",IF(Student_Data[[#This Row],[Marks]]&gt;=60,"C","F"))))</f>
        <v>A</v>
      </c>
      <c r="K378" t="str">
        <f>IF(Student_Data[[#This Row],[Marks]]&gt;=35,"Pass","Fail")</f>
        <v>Pass</v>
      </c>
    </row>
    <row r="379" spans="1:11" x14ac:dyDescent="0.3">
      <c r="A379" t="s">
        <v>500</v>
      </c>
      <c r="B379" t="s">
        <v>164</v>
      </c>
      <c r="C379" t="s">
        <v>25</v>
      </c>
      <c r="D379">
        <v>9</v>
      </c>
      <c r="E379" t="s">
        <v>12</v>
      </c>
      <c r="F379" t="s">
        <v>43</v>
      </c>
      <c r="G379">
        <v>61</v>
      </c>
      <c r="H379">
        <v>67</v>
      </c>
      <c r="I379" t="s">
        <v>46</v>
      </c>
      <c r="J379" t="str">
        <f>IF(Student_Data[[#This Row],[Marks]] &gt;= 90,"A+",IF(Student_Data[[#This Row],[Marks]]&gt;=80,"A",IF(Student_Data[[#This Row],[Marks]]&gt;=70,"B",IF(Student_Data[[#This Row],[Marks]]&gt;=60,"C","F"))))</f>
        <v>C</v>
      </c>
      <c r="K379" t="str">
        <f>IF(Student_Data[[#This Row],[Marks]]&gt;=35,"Pass","Fail")</f>
        <v>Pass</v>
      </c>
    </row>
    <row r="380" spans="1:11" x14ac:dyDescent="0.3">
      <c r="A380" t="s">
        <v>501</v>
      </c>
      <c r="B380" t="s">
        <v>55</v>
      </c>
      <c r="C380" t="s">
        <v>25</v>
      </c>
      <c r="D380">
        <v>11</v>
      </c>
      <c r="E380" t="s">
        <v>17</v>
      </c>
      <c r="F380" t="s">
        <v>43</v>
      </c>
      <c r="G380">
        <v>61</v>
      </c>
      <c r="H380">
        <v>83</v>
      </c>
      <c r="I380" t="s">
        <v>31</v>
      </c>
      <c r="J380" t="str">
        <f>IF(Student_Data[[#This Row],[Marks]] &gt;= 90,"A+",IF(Student_Data[[#This Row],[Marks]]&gt;=80,"A",IF(Student_Data[[#This Row],[Marks]]&gt;=70,"B",IF(Student_Data[[#This Row],[Marks]]&gt;=60,"C","F"))))</f>
        <v>C</v>
      </c>
      <c r="K380" t="str">
        <f>IF(Student_Data[[#This Row],[Marks]]&gt;=35,"Pass","Fail")</f>
        <v>Pass</v>
      </c>
    </row>
    <row r="381" spans="1:11" x14ac:dyDescent="0.3">
      <c r="A381" t="s">
        <v>502</v>
      </c>
      <c r="B381" t="s">
        <v>168</v>
      </c>
      <c r="C381" t="s">
        <v>25</v>
      </c>
      <c r="D381">
        <v>6</v>
      </c>
      <c r="E381" t="s">
        <v>12</v>
      </c>
      <c r="F381" t="s">
        <v>43</v>
      </c>
      <c r="G381">
        <v>51</v>
      </c>
      <c r="H381">
        <v>99</v>
      </c>
      <c r="I381" t="s">
        <v>40</v>
      </c>
      <c r="J381" t="str">
        <f>IF(Student_Data[[#This Row],[Marks]] &gt;= 90,"A+",IF(Student_Data[[#This Row],[Marks]]&gt;=80,"A",IF(Student_Data[[#This Row],[Marks]]&gt;=70,"B",IF(Student_Data[[#This Row],[Marks]]&gt;=60,"C","F"))))</f>
        <v>F</v>
      </c>
      <c r="K381" t="str">
        <f>IF(Student_Data[[#This Row],[Marks]]&gt;=35,"Pass","Fail")</f>
        <v>Pass</v>
      </c>
    </row>
    <row r="382" spans="1:11" x14ac:dyDescent="0.3">
      <c r="A382" t="s">
        <v>503</v>
      </c>
      <c r="B382" t="s">
        <v>195</v>
      </c>
      <c r="C382" t="s">
        <v>11</v>
      </c>
      <c r="D382">
        <v>8</v>
      </c>
      <c r="E382" t="s">
        <v>12</v>
      </c>
      <c r="F382" t="s">
        <v>26</v>
      </c>
      <c r="G382">
        <v>38</v>
      </c>
      <c r="H382">
        <v>81</v>
      </c>
      <c r="I382" t="s">
        <v>14</v>
      </c>
      <c r="J382" t="str">
        <f>IF(Student_Data[[#This Row],[Marks]] &gt;= 90,"A+",IF(Student_Data[[#This Row],[Marks]]&gt;=80,"A",IF(Student_Data[[#This Row],[Marks]]&gt;=70,"B",IF(Student_Data[[#This Row],[Marks]]&gt;=60,"C","F"))))</f>
        <v>F</v>
      </c>
      <c r="K382" t="str">
        <f>IF(Student_Data[[#This Row],[Marks]]&gt;=35,"Pass","Fail")</f>
        <v>Pass</v>
      </c>
    </row>
    <row r="383" spans="1:11" x14ac:dyDescent="0.3">
      <c r="A383" t="s">
        <v>504</v>
      </c>
      <c r="B383" t="s">
        <v>247</v>
      </c>
      <c r="C383" t="s">
        <v>25</v>
      </c>
      <c r="D383">
        <v>9</v>
      </c>
      <c r="E383" t="s">
        <v>33</v>
      </c>
      <c r="F383" t="s">
        <v>13</v>
      </c>
      <c r="G383">
        <v>57</v>
      </c>
      <c r="H383">
        <v>95</v>
      </c>
      <c r="I383" t="s">
        <v>49</v>
      </c>
      <c r="J383" t="str">
        <f>IF(Student_Data[[#This Row],[Marks]] &gt;= 90,"A+",IF(Student_Data[[#This Row],[Marks]]&gt;=80,"A",IF(Student_Data[[#This Row],[Marks]]&gt;=70,"B",IF(Student_Data[[#This Row],[Marks]]&gt;=60,"C","F"))))</f>
        <v>F</v>
      </c>
      <c r="K383" t="str">
        <f>IF(Student_Data[[#This Row],[Marks]]&gt;=35,"Pass","Fail")</f>
        <v>Pass</v>
      </c>
    </row>
    <row r="384" spans="1:11" x14ac:dyDescent="0.3">
      <c r="A384" t="s">
        <v>505</v>
      </c>
      <c r="B384" t="s">
        <v>254</v>
      </c>
      <c r="C384" t="s">
        <v>11</v>
      </c>
      <c r="D384">
        <v>10</v>
      </c>
      <c r="E384" t="s">
        <v>17</v>
      </c>
      <c r="F384" t="s">
        <v>43</v>
      </c>
      <c r="G384">
        <v>96</v>
      </c>
      <c r="H384">
        <v>83</v>
      </c>
      <c r="I384" t="s">
        <v>14</v>
      </c>
      <c r="J384" t="str">
        <f>IF(Student_Data[[#This Row],[Marks]] &gt;= 90,"A+",IF(Student_Data[[#This Row],[Marks]]&gt;=80,"A",IF(Student_Data[[#This Row],[Marks]]&gt;=70,"B",IF(Student_Data[[#This Row],[Marks]]&gt;=60,"C","F"))))</f>
        <v>A+</v>
      </c>
      <c r="K384" t="str">
        <f>IF(Student_Data[[#This Row],[Marks]]&gt;=35,"Pass","Fail")</f>
        <v>Pass</v>
      </c>
    </row>
    <row r="385" spans="1:11" x14ac:dyDescent="0.3">
      <c r="A385" t="s">
        <v>506</v>
      </c>
      <c r="B385" t="s">
        <v>383</v>
      </c>
      <c r="C385" t="s">
        <v>25</v>
      </c>
      <c r="D385">
        <v>10</v>
      </c>
      <c r="E385" t="s">
        <v>33</v>
      </c>
      <c r="F385" t="s">
        <v>22</v>
      </c>
      <c r="G385">
        <v>46</v>
      </c>
      <c r="H385">
        <v>84</v>
      </c>
      <c r="I385" t="s">
        <v>40</v>
      </c>
      <c r="J385" t="str">
        <f>IF(Student_Data[[#This Row],[Marks]] &gt;= 90,"A+",IF(Student_Data[[#This Row],[Marks]]&gt;=80,"A",IF(Student_Data[[#This Row],[Marks]]&gt;=70,"B",IF(Student_Data[[#This Row],[Marks]]&gt;=60,"C","F"))))</f>
        <v>F</v>
      </c>
      <c r="K385" t="str">
        <f>IF(Student_Data[[#This Row],[Marks]]&gt;=35,"Pass","Fail")</f>
        <v>Pass</v>
      </c>
    </row>
    <row r="386" spans="1:11" x14ac:dyDescent="0.3">
      <c r="A386" t="s">
        <v>507</v>
      </c>
      <c r="B386" t="s">
        <v>61</v>
      </c>
      <c r="C386" t="s">
        <v>25</v>
      </c>
      <c r="D386">
        <v>8</v>
      </c>
      <c r="E386" t="s">
        <v>17</v>
      </c>
      <c r="F386" t="s">
        <v>26</v>
      </c>
      <c r="G386">
        <v>80</v>
      </c>
      <c r="H386">
        <v>75</v>
      </c>
      <c r="I386" t="s">
        <v>31</v>
      </c>
      <c r="J386" t="str">
        <f>IF(Student_Data[[#This Row],[Marks]] &gt;= 90,"A+",IF(Student_Data[[#This Row],[Marks]]&gt;=80,"A",IF(Student_Data[[#This Row],[Marks]]&gt;=70,"B",IF(Student_Data[[#This Row],[Marks]]&gt;=60,"C","F"))))</f>
        <v>A</v>
      </c>
      <c r="K386" t="str">
        <f>IF(Student_Data[[#This Row],[Marks]]&gt;=35,"Pass","Fail")</f>
        <v>Pass</v>
      </c>
    </row>
    <row r="387" spans="1:11" x14ac:dyDescent="0.3">
      <c r="A387" t="s">
        <v>508</v>
      </c>
      <c r="B387" t="s">
        <v>214</v>
      </c>
      <c r="C387" t="s">
        <v>25</v>
      </c>
      <c r="D387">
        <v>10</v>
      </c>
      <c r="E387" t="s">
        <v>12</v>
      </c>
      <c r="F387" t="s">
        <v>43</v>
      </c>
      <c r="G387">
        <v>63</v>
      </c>
      <c r="H387">
        <v>84</v>
      </c>
      <c r="I387" t="s">
        <v>49</v>
      </c>
      <c r="J387" t="str">
        <f>IF(Student_Data[[#This Row],[Marks]] &gt;= 90,"A+",IF(Student_Data[[#This Row],[Marks]]&gt;=80,"A",IF(Student_Data[[#This Row],[Marks]]&gt;=70,"B",IF(Student_Data[[#This Row],[Marks]]&gt;=60,"C","F"))))</f>
        <v>C</v>
      </c>
      <c r="K387" t="str">
        <f>IF(Student_Data[[#This Row],[Marks]]&gt;=35,"Pass","Fail")</f>
        <v>Pass</v>
      </c>
    </row>
    <row r="388" spans="1:11" x14ac:dyDescent="0.3">
      <c r="A388" t="s">
        <v>509</v>
      </c>
      <c r="B388" t="s">
        <v>164</v>
      </c>
      <c r="C388" t="s">
        <v>25</v>
      </c>
      <c r="D388">
        <v>11</v>
      </c>
      <c r="E388" t="s">
        <v>17</v>
      </c>
      <c r="F388" t="s">
        <v>18</v>
      </c>
      <c r="G388">
        <v>71</v>
      </c>
      <c r="H388">
        <v>74</v>
      </c>
      <c r="I388" t="s">
        <v>19</v>
      </c>
      <c r="J388" t="str">
        <f>IF(Student_Data[[#This Row],[Marks]] &gt;= 90,"A+",IF(Student_Data[[#This Row],[Marks]]&gt;=80,"A",IF(Student_Data[[#This Row],[Marks]]&gt;=70,"B",IF(Student_Data[[#This Row],[Marks]]&gt;=60,"C","F"))))</f>
        <v>B</v>
      </c>
      <c r="K388" t="str">
        <f>IF(Student_Data[[#This Row],[Marks]]&gt;=35,"Pass","Fail")</f>
        <v>Pass</v>
      </c>
    </row>
    <row r="389" spans="1:11" x14ac:dyDescent="0.3">
      <c r="A389" t="s">
        <v>510</v>
      </c>
      <c r="B389" t="s">
        <v>109</v>
      </c>
      <c r="C389" t="s">
        <v>11</v>
      </c>
      <c r="D389">
        <v>6</v>
      </c>
      <c r="E389" t="s">
        <v>17</v>
      </c>
      <c r="F389" t="s">
        <v>26</v>
      </c>
      <c r="G389">
        <v>55</v>
      </c>
      <c r="H389">
        <v>89</v>
      </c>
      <c r="I389" t="s">
        <v>31</v>
      </c>
      <c r="J389" t="str">
        <f>IF(Student_Data[[#This Row],[Marks]] &gt;= 90,"A+",IF(Student_Data[[#This Row],[Marks]]&gt;=80,"A",IF(Student_Data[[#This Row],[Marks]]&gt;=70,"B",IF(Student_Data[[#This Row],[Marks]]&gt;=60,"C","F"))))</f>
        <v>F</v>
      </c>
      <c r="K389" t="str">
        <f>IF(Student_Data[[#This Row],[Marks]]&gt;=35,"Pass","Fail")</f>
        <v>Pass</v>
      </c>
    </row>
    <row r="390" spans="1:11" x14ac:dyDescent="0.3">
      <c r="A390" t="s">
        <v>511</v>
      </c>
      <c r="B390" t="s">
        <v>39</v>
      </c>
      <c r="C390" t="s">
        <v>11</v>
      </c>
      <c r="D390">
        <v>10</v>
      </c>
      <c r="E390" t="s">
        <v>17</v>
      </c>
      <c r="F390" t="s">
        <v>43</v>
      </c>
      <c r="G390">
        <v>51</v>
      </c>
      <c r="H390">
        <v>64</v>
      </c>
      <c r="I390" t="s">
        <v>19</v>
      </c>
      <c r="J390" t="str">
        <f>IF(Student_Data[[#This Row],[Marks]] &gt;= 90,"A+",IF(Student_Data[[#This Row],[Marks]]&gt;=80,"A",IF(Student_Data[[#This Row],[Marks]]&gt;=70,"B",IF(Student_Data[[#This Row],[Marks]]&gt;=60,"C","F"))))</f>
        <v>F</v>
      </c>
      <c r="K390" t="str">
        <f>IF(Student_Data[[#This Row],[Marks]]&gt;=35,"Pass","Fail")</f>
        <v>Pass</v>
      </c>
    </row>
    <row r="391" spans="1:11" x14ac:dyDescent="0.3">
      <c r="A391" t="s">
        <v>512</v>
      </c>
      <c r="B391" t="s">
        <v>224</v>
      </c>
      <c r="C391" t="s">
        <v>25</v>
      </c>
      <c r="D391">
        <v>12</v>
      </c>
      <c r="E391" t="s">
        <v>17</v>
      </c>
      <c r="F391" t="s">
        <v>34</v>
      </c>
      <c r="G391">
        <v>75</v>
      </c>
      <c r="H391">
        <v>86</v>
      </c>
      <c r="I391" t="s">
        <v>31</v>
      </c>
      <c r="J391" t="str">
        <f>IF(Student_Data[[#This Row],[Marks]] &gt;= 90,"A+",IF(Student_Data[[#This Row],[Marks]]&gt;=80,"A",IF(Student_Data[[#This Row],[Marks]]&gt;=70,"B",IF(Student_Data[[#This Row],[Marks]]&gt;=60,"C","F"))))</f>
        <v>B</v>
      </c>
      <c r="K391" t="str">
        <f>IF(Student_Data[[#This Row],[Marks]]&gt;=35,"Pass","Fail")</f>
        <v>Pass</v>
      </c>
    </row>
    <row r="392" spans="1:11" x14ac:dyDescent="0.3">
      <c r="A392" t="s">
        <v>513</v>
      </c>
      <c r="B392" t="s">
        <v>10</v>
      </c>
      <c r="C392" t="s">
        <v>25</v>
      </c>
      <c r="D392">
        <v>9</v>
      </c>
      <c r="E392" t="s">
        <v>12</v>
      </c>
      <c r="F392" t="s">
        <v>26</v>
      </c>
      <c r="G392">
        <v>65</v>
      </c>
      <c r="H392">
        <v>81</v>
      </c>
      <c r="I392" t="s">
        <v>31</v>
      </c>
      <c r="J392" t="str">
        <f>IF(Student_Data[[#This Row],[Marks]] &gt;= 90,"A+",IF(Student_Data[[#This Row],[Marks]]&gt;=80,"A",IF(Student_Data[[#This Row],[Marks]]&gt;=70,"B",IF(Student_Data[[#This Row],[Marks]]&gt;=60,"C","F"))))</f>
        <v>C</v>
      </c>
      <c r="K392" t="str">
        <f>IF(Student_Data[[#This Row],[Marks]]&gt;=35,"Pass","Fail")</f>
        <v>Pass</v>
      </c>
    </row>
    <row r="393" spans="1:11" x14ac:dyDescent="0.3">
      <c r="A393" t="s">
        <v>514</v>
      </c>
      <c r="B393" t="s">
        <v>28</v>
      </c>
      <c r="C393" t="s">
        <v>11</v>
      </c>
      <c r="D393">
        <v>12</v>
      </c>
      <c r="E393" t="s">
        <v>17</v>
      </c>
      <c r="F393" t="s">
        <v>34</v>
      </c>
      <c r="G393">
        <v>85</v>
      </c>
      <c r="H393">
        <v>69</v>
      </c>
      <c r="I393" t="s">
        <v>14</v>
      </c>
      <c r="J393" t="str">
        <f>IF(Student_Data[[#This Row],[Marks]] &gt;= 90,"A+",IF(Student_Data[[#This Row],[Marks]]&gt;=80,"A",IF(Student_Data[[#This Row],[Marks]]&gt;=70,"B",IF(Student_Data[[#This Row],[Marks]]&gt;=60,"C","F"))))</f>
        <v>A</v>
      </c>
      <c r="K393" t="str">
        <f>IF(Student_Data[[#This Row],[Marks]]&gt;=35,"Pass","Fail")</f>
        <v>Pass</v>
      </c>
    </row>
    <row r="394" spans="1:11" x14ac:dyDescent="0.3">
      <c r="A394" t="s">
        <v>515</v>
      </c>
      <c r="B394" t="s">
        <v>171</v>
      </c>
      <c r="C394" t="s">
        <v>11</v>
      </c>
      <c r="D394">
        <v>9</v>
      </c>
      <c r="E394" t="s">
        <v>33</v>
      </c>
      <c r="F394" t="s">
        <v>43</v>
      </c>
      <c r="G394">
        <v>76</v>
      </c>
      <c r="H394">
        <v>82</v>
      </c>
      <c r="I394" t="s">
        <v>14</v>
      </c>
      <c r="J394" t="str">
        <f>IF(Student_Data[[#This Row],[Marks]] &gt;= 90,"A+",IF(Student_Data[[#This Row],[Marks]]&gt;=80,"A",IF(Student_Data[[#This Row],[Marks]]&gt;=70,"B",IF(Student_Data[[#This Row],[Marks]]&gt;=60,"C","F"))))</f>
        <v>B</v>
      </c>
      <c r="K394" t="str">
        <f>IF(Student_Data[[#This Row],[Marks]]&gt;=35,"Pass","Fail")</f>
        <v>Pass</v>
      </c>
    </row>
    <row r="395" spans="1:11" x14ac:dyDescent="0.3">
      <c r="A395" t="s">
        <v>516</v>
      </c>
      <c r="B395" t="s">
        <v>16</v>
      </c>
      <c r="C395" t="s">
        <v>11</v>
      </c>
      <c r="D395">
        <v>9</v>
      </c>
      <c r="E395" t="s">
        <v>33</v>
      </c>
      <c r="F395" t="s">
        <v>26</v>
      </c>
      <c r="G395">
        <v>69</v>
      </c>
      <c r="H395">
        <v>92</v>
      </c>
      <c r="I395" t="s">
        <v>49</v>
      </c>
      <c r="J395" t="str">
        <f>IF(Student_Data[[#This Row],[Marks]] &gt;= 90,"A+",IF(Student_Data[[#This Row],[Marks]]&gt;=80,"A",IF(Student_Data[[#This Row],[Marks]]&gt;=70,"B",IF(Student_Data[[#This Row],[Marks]]&gt;=60,"C","F"))))</f>
        <v>C</v>
      </c>
      <c r="K395" t="str">
        <f>IF(Student_Data[[#This Row],[Marks]]&gt;=35,"Pass","Fail")</f>
        <v>Pass</v>
      </c>
    </row>
    <row r="396" spans="1:11" x14ac:dyDescent="0.3">
      <c r="A396" t="s">
        <v>517</v>
      </c>
      <c r="B396" t="s">
        <v>179</v>
      </c>
      <c r="C396" t="s">
        <v>25</v>
      </c>
      <c r="D396">
        <v>8</v>
      </c>
      <c r="E396" t="s">
        <v>17</v>
      </c>
      <c r="F396" t="s">
        <v>18</v>
      </c>
      <c r="G396">
        <v>90</v>
      </c>
      <c r="H396">
        <v>77</v>
      </c>
      <c r="I396" t="s">
        <v>14</v>
      </c>
      <c r="J396" t="str">
        <f>IF(Student_Data[[#This Row],[Marks]] &gt;= 90,"A+",IF(Student_Data[[#This Row],[Marks]]&gt;=80,"A",IF(Student_Data[[#This Row],[Marks]]&gt;=70,"B",IF(Student_Data[[#This Row],[Marks]]&gt;=60,"C","F"))))</f>
        <v>A+</v>
      </c>
      <c r="K396" t="str">
        <f>IF(Student_Data[[#This Row],[Marks]]&gt;=35,"Pass","Fail")</f>
        <v>Pass</v>
      </c>
    </row>
    <row r="397" spans="1:11" x14ac:dyDescent="0.3">
      <c r="A397" t="s">
        <v>518</v>
      </c>
      <c r="B397" t="s">
        <v>168</v>
      </c>
      <c r="C397" t="s">
        <v>11</v>
      </c>
      <c r="D397">
        <v>7</v>
      </c>
      <c r="E397" t="s">
        <v>17</v>
      </c>
      <c r="F397" t="s">
        <v>34</v>
      </c>
      <c r="G397">
        <v>78</v>
      </c>
      <c r="H397">
        <v>99</v>
      </c>
      <c r="I397" t="s">
        <v>31</v>
      </c>
      <c r="J397" t="str">
        <f>IF(Student_Data[[#This Row],[Marks]] &gt;= 90,"A+",IF(Student_Data[[#This Row],[Marks]]&gt;=80,"A",IF(Student_Data[[#This Row],[Marks]]&gt;=70,"B",IF(Student_Data[[#This Row],[Marks]]&gt;=60,"C","F"))))</f>
        <v>B</v>
      </c>
      <c r="K397" t="str">
        <f>IF(Student_Data[[#This Row],[Marks]]&gt;=35,"Pass","Fail")</f>
        <v>Pass</v>
      </c>
    </row>
    <row r="398" spans="1:11" x14ac:dyDescent="0.3">
      <c r="A398" t="s">
        <v>519</v>
      </c>
      <c r="B398" t="s">
        <v>252</v>
      </c>
      <c r="C398" t="s">
        <v>25</v>
      </c>
      <c r="D398">
        <v>9</v>
      </c>
      <c r="E398" t="s">
        <v>33</v>
      </c>
      <c r="F398" t="s">
        <v>34</v>
      </c>
      <c r="G398">
        <v>77</v>
      </c>
      <c r="H398">
        <v>85</v>
      </c>
      <c r="I398" t="s">
        <v>46</v>
      </c>
      <c r="J398" t="str">
        <f>IF(Student_Data[[#This Row],[Marks]] &gt;= 90,"A+",IF(Student_Data[[#This Row],[Marks]]&gt;=80,"A",IF(Student_Data[[#This Row],[Marks]]&gt;=70,"B",IF(Student_Data[[#This Row],[Marks]]&gt;=60,"C","F"))))</f>
        <v>B</v>
      </c>
      <c r="K398" t="str">
        <f>IF(Student_Data[[#This Row],[Marks]]&gt;=35,"Pass","Fail")</f>
        <v>Pass</v>
      </c>
    </row>
    <row r="399" spans="1:11" x14ac:dyDescent="0.3">
      <c r="A399" t="s">
        <v>520</v>
      </c>
      <c r="B399" t="s">
        <v>143</v>
      </c>
      <c r="C399" t="s">
        <v>11</v>
      </c>
      <c r="D399">
        <v>7</v>
      </c>
      <c r="E399" t="s">
        <v>33</v>
      </c>
      <c r="F399" t="s">
        <v>18</v>
      </c>
      <c r="G399">
        <v>61</v>
      </c>
      <c r="H399">
        <v>81</v>
      </c>
      <c r="I399" t="s">
        <v>31</v>
      </c>
      <c r="J399" t="str">
        <f>IF(Student_Data[[#This Row],[Marks]] &gt;= 90,"A+",IF(Student_Data[[#This Row],[Marks]]&gt;=80,"A",IF(Student_Data[[#This Row],[Marks]]&gt;=70,"B",IF(Student_Data[[#This Row],[Marks]]&gt;=60,"C","F"))))</f>
        <v>C</v>
      </c>
      <c r="K399" t="str">
        <f>IF(Student_Data[[#This Row],[Marks]]&gt;=35,"Pass","Fail")</f>
        <v>Pass</v>
      </c>
    </row>
    <row r="400" spans="1:11" x14ac:dyDescent="0.3">
      <c r="A400" t="s">
        <v>521</v>
      </c>
      <c r="B400" t="s">
        <v>423</v>
      </c>
      <c r="C400" t="s">
        <v>25</v>
      </c>
      <c r="D400">
        <v>11</v>
      </c>
      <c r="E400" t="s">
        <v>12</v>
      </c>
      <c r="F400" t="s">
        <v>13</v>
      </c>
      <c r="G400">
        <v>60</v>
      </c>
      <c r="H400">
        <v>77</v>
      </c>
      <c r="I400" t="s">
        <v>19</v>
      </c>
      <c r="J400" t="str">
        <f>IF(Student_Data[[#This Row],[Marks]] &gt;= 90,"A+",IF(Student_Data[[#This Row],[Marks]]&gt;=80,"A",IF(Student_Data[[#This Row],[Marks]]&gt;=70,"B",IF(Student_Data[[#This Row],[Marks]]&gt;=60,"C","F"))))</f>
        <v>C</v>
      </c>
      <c r="K400" t="str">
        <f>IF(Student_Data[[#This Row],[Marks]]&gt;=35,"Pass","Fail")</f>
        <v>Pass</v>
      </c>
    </row>
    <row r="401" spans="1:11" x14ac:dyDescent="0.3">
      <c r="A401" t="s">
        <v>522</v>
      </c>
      <c r="B401" t="s">
        <v>21</v>
      </c>
      <c r="C401" t="s">
        <v>25</v>
      </c>
      <c r="D401">
        <v>10</v>
      </c>
      <c r="E401" t="s">
        <v>17</v>
      </c>
      <c r="F401" t="s">
        <v>43</v>
      </c>
      <c r="G401">
        <v>96</v>
      </c>
      <c r="H401">
        <v>68</v>
      </c>
      <c r="I401" t="s">
        <v>40</v>
      </c>
      <c r="J401" t="str">
        <f>IF(Student_Data[[#This Row],[Marks]] &gt;= 90,"A+",IF(Student_Data[[#This Row],[Marks]]&gt;=80,"A",IF(Student_Data[[#This Row],[Marks]]&gt;=70,"B",IF(Student_Data[[#This Row],[Marks]]&gt;=60,"C","F"))))</f>
        <v>A+</v>
      </c>
      <c r="K401" t="str">
        <f>IF(Student_Data[[#This Row],[Marks]]&gt;=35,"Pass","Fail")</f>
        <v>Pass</v>
      </c>
    </row>
    <row r="402" spans="1:11" x14ac:dyDescent="0.3">
      <c r="A402" t="s">
        <v>523</v>
      </c>
      <c r="B402" t="s">
        <v>228</v>
      </c>
      <c r="C402" t="s">
        <v>25</v>
      </c>
      <c r="D402">
        <v>10</v>
      </c>
      <c r="E402" t="s">
        <v>12</v>
      </c>
      <c r="F402" t="s">
        <v>13</v>
      </c>
      <c r="G402">
        <v>77</v>
      </c>
      <c r="H402">
        <v>95</v>
      </c>
      <c r="I402" t="s">
        <v>46</v>
      </c>
      <c r="J402" t="str">
        <f>IF(Student_Data[[#This Row],[Marks]] &gt;= 90,"A+",IF(Student_Data[[#This Row],[Marks]]&gt;=80,"A",IF(Student_Data[[#This Row],[Marks]]&gt;=70,"B",IF(Student_Data[[#This Row],[Marks]]&gt;=60,"C","F"))))</f>
        <v>B</v>
      </c>
      <c r="K402" t="str">
        <f>IF(Student_Data[[#This Row],[Marks]]&gt;=35,"Pass","Fail")</f>
        <v>Pass</v>
      </c>
    </row>
    <row r="403" spans="1:11" x14ac:dyDescent="0.3">
      <c r="A403" t="s">
        <v>524</v>
      </c>
      <c r="B403" t="s">
        <v>164</v>
      </c>
      <c r="C403" t="s">
        <v>11</v>
      </c>
      <c r="D403">
        <v>8</v>
      </c>
      <c r="E403" t="s">
        <v>33</v>
      </c>
      <c r="F403" t="s">
        <v>18</v>
      </c>
      <c r="G403">
        <v>69</v>
      </c>
      <c r="H403">
        <v>75</v>
      </c>
      <c r="I403" t="s">
        <v>49</v>
      </c>
      <c r="J403" t="str">
        <f>IF(Student_Data[[#This Row],[Marks]] &gt;= 90,"A+",IF(Student_Data[[#This Row],[Marks]]&gt;=80,"A",IF(Student_Data[[#This Row],[Marks]]&gt;=70,"B",IF(Student_Data[[#This Row],[Marks]]&gt;=60,"C","F"))))</f>
        <v>C</v>
      </c>
      <c r="K403" t="str">
        <f>IF(Student_Data[[#This Row],[Marks]]&gt;=35,"Pass","Fail")</f>
        <v>Pass</v>
      </c>
    </row>
    <row r="404" spans="1:11" x14ac:dyDescent="0.3">
      <c r="A404" t="s">
        <v>525</v>
      </c>
      <c r="B404" t="s">
        <v>171</v>
      </c>
      <c r="C404" t="s">
        <v>25</v>
      </c>
      <c r="D404">
        <v>12</v>
      </c>
      <c r="E404" t="s">
        <v>12</v>
      </c>
      <c r="F404" t="s">
        <v>34</v>
      </c>
      <c r="G404">
        <v>74</v>
      </c>
      <c r="H404">
        <v>88</v>
      </c>
      <c r="I404" t="s">
        <v>31</v>
      </c>
      <c r="J404" t="str">
        <f>IF(Student_Data[[#This Row],[Marks]] &gt;= 90,"A+",IF(Student_Data[[#This Row],[Marks]]&gt;=80,"A",IF(Student_Data[[#This Row],[Marks]]&gt;=70,"B",IF(Student_Data[[#This Row],[Marks]]&gt;=60,"C","F"))))</f>
        <v>B</v>
      </c>
      <c r="K404" t="str">
        <f>IF(Student_Data[[#This Row],[Marks]]&gt;=35,"Pass","Fail")</f>
        <v>Pass</v>
      </c>
    </row>
    <row r="405" spans="1:11" x14ac:dyDescent="0.3">
      <c r="A405" t="s">
        <v>526</v>
      </c>
      <c r="B405" t="s">
        <v>28</v>
      </c>
      <c r="C405" t="s">
        <v>11</v>
      </c>
      <c r="D405">
        <v>10</v>
      </c>
      <c r="E405" t="s">
        <v>33</v>
      </c>
      <c r="F405" t="s">
        <v>26</v>
      </c>
      <c r="G405">
        <v>100</v>
      </c>
      <c r="H405">
        <v>62</v>
      </c>
      <c r="I405" t="s">
        <v>40</v>
      </c>
      <c r="J405" t="str">
        <f>IF(Student_Data[[#This Row],[Marks]] &gt;= 90,"A+",IF(Student_Data[[#This Row],[Marks]]&gt;=80,"A",IF(Student_Data[[#This Row],[Marks]]&gt;=70,"B",IF(Student_Data[[#This Row],[Marks]]&gt;=60,"C","F"))))</f>
        <v>A+</v>
      </c>
      <c r="K405" t="str">
        <f>IF(Student_Data[[#This Row],[Marks]]&gt;=35,"Pass","Fail")</f>
        <v>Pass</v>
      </c>
    </row>
    <row r="406" spans="1:11" x14ac:dyDescent="0.3">
      <c r="A406" t="s">
        <v>527</v>
      </c>
      <c r="B406" t="s">
        <v>195</v>
      </c>
      <c r="C406" t="s">
        <v>25</v>
      </c>
      <c r="D406">
        <v>8</v>
      </c>
      <c r="E406" t="s">
        <v>12</v>
      </c>
      <c r="F406" t="s">
        <v>13</v>
      </c>
      <c r="G406">
        <v>80</v>
      </c>
      <c r="H406">
        <v>82</v>
      </c>
      <c r="I406" t="s">
        <v>49</v>
      </c>
      <c r="J406" t="str">
        <f>IF(Student_Data[[#This Row],[Marks]] &gt;= 90,"A+",IF(Student_Data[[#This Row],[Marks]]&gt;=80,"A",IF(Student_Data[[#This Row],[Marks]]&gt;=70,"B",IF(Student_Data[[#This Row],[Marks]]&gt;=60,"C","F"))))</f>
        <v>A</v>
      </c>
      <c r="K406" t="str">
        <f>IF(Student_Data[[#This Row],[Marks]]&gt;=35,"Pass","Fail")</f>
        <v>Pass</v>
      </c>
    </row>
    <row r="407" spans="1:11" x14ac:dyDescent="0.3">
      <c r="A407" t="s">
        <v>528</v>
      </c>
      <c r="B407" t="s">
        <v>264</v>
      </c>
      <c r="C407" t="s">
        <v>11</v>
      </c>
      <c r="D407">
        <v>8</v>
      </c>
      <c r="E407" t="s">
        <v>33</v>
      </c>
      <c r="F407" t="s">
        <v>26</v>
      </c>
      <c r="G407">
        <v>86</v>
      </c>
      <c r="H407">
        <v>74</v>
      </c>
      <c r="I407" t="s">
        <v>49</v>
      </c>
      <c r="J407" t="str">
        <f>IF(Student_Data[[#This Row],[Marks]] &gt;= 90,"A+",IF(Student_Data[[#This Row],[Marks]]&gt;=80,"A",IF(Student_Data[[#This Row],[Marks]]&gt;=70,"B",IF(Student_Data[[#This Row],[Marks]]&gt;=60,"C","F"))))</f>
        <v>A</v>
      </c>
      <c r="K407" t="str">
        <f>IF(Student_Data[[#This Row],[Marks]]&gt;=35,"Pass","Fail")</f>
        <v>Pass</v>
      </c>
    </row>
    <row r="408" spans="1:11" x14ac:dyDescent="0.3">
      <c r="A408" t="s">
        <v>529</v>
      </c>
      <c r="B408" t="s">
        <v>254</v>
      </c>
      <c r="C408" t="s">
        <v>11</v>
      </c>
      <c r="D408">
        <v>11</v>
      </c>
      <c r="E408" t="s">
        <v>33</v>
      </c>
      <c r="F408" t="s">
        <v>26</v>
      </c>
      <c r="G408">
        <v>80</v>
      </c>
      <c r="H408">
        <v>73</v>
      </c>
      <c r="I408" t="s">
        <v>31</v>
      </c>
      <c r="J408" t="str">
        <f>IF(Student_Data[[#This Row],[Marks]] &gt;= 90,"A+",IF(Student_Data[[#This Row],[Marks]]&gt;=80,"A",IF(Student_Data[[#This Row],[Marks]]&gt;=70,"B",IF(Student_Data[[#This Row],[Marks]]&gt;=60,"C","F"))))</f>
        <v>A</v>
      </c>
      <c r="K408" t="str">
        <f>IF(Student_Data[[#This Row],[Marks]]&gt;=35,"Pass","Fail")</f>
        <v>Pass</v>
      </c>
    </row>
    <row r="409" spans="1:11" x14ac:dyDescent="0.3">
      <c r="A409" t="s">
        <v>530</v>
      </c>
      <c r="B409" t="s">
        <v>236</v>
      </c>
      <c r="C409" t="s">
        <v>25</v>
      </c>
      <c r="D409">
        <v>7</v>
      </c>
      <c r="E409" t="s">
        <v>33</v>
      </c>
      <c r="F409" t="s">
        <v>18</v>
      </c>
      <c r="G409">
        <v>85</v>
      </c>
      <c r="H409">
        <v>82</v>
      </c>
      <c r="I409" t="s">
        <v>40</v>
      </c>
      <c r="J409" t="str">
        <f>IF(Student_Data[[#This Row],[Marks]] &gt;= 90,"A+",IF(Student_Data[[#This Row],[Marks]]&gt;=80,"A",IF(Student_Data[[#This Row],[Marks]]&gt;=70,"B",IF(Student_Data[[#This Row],[Marks]]&gt;=60,"C","F"))))</f>
        <v>A</v>
      </c>
      <c r="K409" t="str">
        <f>IF(Student_Data[[#This Row],[Marks]]&gt;=35,"Pass","Fail")</f>
        <v>Pass</v>
      </c>
    </row>
    <row r="410" spans="1:11" x14ac:dyDescent="0.3">
      <c r="A410" t="s">
        <v>531</v>
      </c>
      <c r="B410" t="s">
        <v>100</v>
      </c>
      <c r="C410" t="s">
        <v>25</v>
      </c>
      <c r="D410">
        <v>7</v>
      </c>
      <c r="E410" t="s">
        <v>12</v>
      </c>
      <c r="F410" t="s">
        <v>26</v>
      </c>
      <c r="G410">
        <v>43</v>
      </c>
      <c r="H410">
        <v>87</v>
      </c>
      <c r="I410" t="s">
        <v>14</v>
      </c>
      <c r="J410" t="str">
        <f>IF(Student_Data[[#This Row],[Marks]] &gt;= 90,"A+",IF(Student_Data[[#This Row],[Marks]]&gt;=80,"A",IF(Student_Data[[#This Row],[Marks]]&gt;=70,"B",IF(Student_Data[[#This Row],[Marks]]&gt;=60,"C","F"))))</f>
        <v>F</v>
      </c>
      <c r="K410" t="str">
        <f>IF(Student_Data[[#This Row],[Marks]]&gt;=35,"Pass","Fail")</f>
        <v>Pass</v>
      </c>
    </row>
    <row r="411" spans="1:11" x14ac:dyDescent="0.3">
      <c r="A411" t="s">
        <v>532</v>
      </c>
      <c r="B411" t="s">
        <v>297</v>
      </c>
      <c r="C411" t="s">
        <v>25</v>
      </c>
      <c r="D411">
        <v>12</v>
      </c>
      <c r="E411" t="s">
        <v>12</v>
      </c>
      <c r="F411" t="s">
        <v>43</v>
      </c>
      <c r="G411">
        <v>39</v>
      </c>
      <c r="H411">
        <v>62</v>
      </c>
      <c r="I411" t="s">
        <v>40</v>
      </c>
      <c r="J411" t="str">
        <f>IF(Student_Data[[#This Row],[Marks]] &gt;= 90,"A+",IF(Student_Data[[#This Row],[Marks]]&gt;=80,"A",IF(Student_Data[[#This Row],[Marks]]&gt;=70,"B",IF(Student_Data[[#This Row],[Marks]]&gt;=60,"C","F"))))</f>
        <v>F</v>
      </c>
      <c r="K411" t="str">
        <f>IF(Student_Data[[#This Row],[Marks]]&gt;=35,"Pass","Fail")</f>
        <v>Pass</v>
      </c>
    </row>
    <row r="412" spans="1:11" x14ac:dyDescent="0.3">
      <c r="A412" t="s">
        <v>533</v>
      </c>
      <c r="B412" t="s">
        <v>184</v>
      </c>
      <c r="C412" t="s">
        <v>25</v>
      </c>
      <c r="D412">
        <v>10</v>
      </c>
      <c r="E412" t="s">
        <v>12</v>
      </c>
      <c r="F412" t="s">
        <v>13</v>
      </c>
      <c r="G412">
        <v>64</v>
      </c>
      <c r="H412">
        <v>73</v>
      </c>
      <c r="I412" t="s">
        <v>49</v>
      </c>
      <c r="J412" t="str">
        <f>IF(Student_Data[[#This Row],[Marks]] &gt;= 90,"A+",IF(Student_Data[[#This Row],[Marks]]&gt;=80,"A",IF(Student_Data[[#This Row],[Marks]]&gt;=70,"B",IF(Student_Data[[#This Row],[Marks]]&gt;=60,"C","F"))))</f>
        <v>C</v>
      </c>
      <c r="K412" t="str">
        <f>IF(Student_Data[[#This Row],[Marks]]&gt;=35,"Pass","Fail")</f>
        <v>Pass</v>
      </c>
    </row>
    <row r="413" spans="1:11" x14ac:dyDescent="0.3">
      <c r="A413" t="s">
        <v>534</v>
      </c>
      <c r="B413" t="s">
        <v>432</v>
      </c>
      <c r="C413" t="s">
        <v>25</v>
      </c>
      <c r="D413">
        <v>11</v>
      </c>
      <c r="E413" t="s">
        <v>12</v>
      </c>
      <c r="F413" t="s">
        <v>13</v>
      </c>
      <c r="G413">
        <v>48</v>
      </c>
      <c r="H413">
        <v>95</v>
      </c>
      <c r="I413" t="s">
        <v>31</v>
      </c>
      <c r="J413" t="str">
        <f>IF(Student_Data[[#This Row],[Marks]] &gt;= 90,"A+",IF(Student_Data[[#This Row],[Marks]]&gt;=80,"A",IF(Student_Data[[#This Row],[Marks]]&gt;=70,"B",IF(Student_Data[[#This Row],[Marks]]&gt;=60,"C","F"))))</f>
        <v>F</v>
      </c>
      <c r="K413" t="str">
        <f>IF(Student_Data[[#This Row],[Marks]]&gt;=35,"Pass","Fail")</f>
        <v>Pass</v>
      </c>
    </row>
    <row r="414" spans="1:11" x14ac:dyDescent="0.3">
      <c r="A414" t="s">
        <v>535</v>
      </c>
      <c r="B414" t="s">
        <v>147</v>
      </c>
      <c r="C414" t="s">
        <v>11</v>
      </c>
      <c r="D414">
        <v>11</v>
      </c>
      <c r="E414" t="s">
        <v>12</v>
      </c>
      <c r="F414" t="s">
        <v>18</v>
      </c>
      <c r="G414">
        <v>76</v>
      </c>
      <c r="H414">
        <v>80</v>
      </c>
      <c r="I414" t="s">
        <v>49</v>
      </c>
      <c r="J414" t="str">
        <f>IF(Student_Data[[#This Row],[Marks]] &gt;= 90,"A+",IF(Student_Data[[#This Row],[Marks]]&gt;=80,"A",IF(Student_Data[[#This Row],[Marks]]&gt;=70,"B",IF(Student_Data[[#This Row],[Marks]]&gt;=60,"C","F"))))</f>
        <v>B</v>
      </c>
      <c r="K414" t="str">
        <f>IF(Student_Data[[#This Row],[Marks]]&gt;=35,"Pass","Fail")</f>
        <v>Pass</v>
      </c>
    </row>
    <row r="415" spans="1:11" x14ac:dyDescent="0.3">
      <c r="A415" t="s">
        <v>536</v>
      </c>
      <c r="B415" t="s">
        <v>228</v>
      </c>
      <c r="C415" t="s">
        <v>11</v>
      </c>
      <c r="D415">
        <v>12</v>
      </c>
      <c r="E415" t="s">
        <v>17</v>
      </c>
      <c r="F415" t="s">
        <v>18</v>
      </c>
      <c r="G415">
        <v>71</v>
      </c>
      <c r="H415">
        <v>67</v>
      </c>
      <c r="I415" t="s">
        <v>35</v>
      </c>
      <c r="J415" t="str">
        <f>IF(Student_Data[[#This Row],[Marks]] &gt;= 90,"A+",IF(Student_Data[[#This Row],[Marks]]&gt;=80,"A",IF(Student_Data[[#This Row],[Marks]]&gt;=70,"B",IF(Student_Data[[#This Row],[Marks]]&gt;=60,"C","F"))))</f>
        <v>B</v>
      </c>
      <c r="K415" t="str">
        <f>IF(Student_Data[[#This Row],[Marks]]&gt;=35,"Pass","Fail")</f>
        <v>Pass</v>
      </c>
    </row>
    <row r="416" spans="1:11" x14ac:dyDescent="0.3">
      <c r="A416" t="s">
        <v>537</v>
      </c>
      <c r="B416" t="s">
        <v>232</v>
      </c>
      <c r="C416" t="s">
        <v>11</v>
      </c>
      <c r="D416">
        <v>10</v>
      </c>
      <c r="E416" t="s">
        <v>33</v>
      </c>
      <c r="F416" t="s">
        <v>26</v>
      </c>
      <c r="G416">
        <v>83</v>
      </c>
      <c r="H416">
        <v>79</v>
      </c>
      <c r="I416" t="s">
        <v>31</v>
      </c>
      <c r="J416" t="str">
        <f>IF(Student_Data[[#This Row],[Marks]] &gt;= 90,"A+",IF(Student_Data[[#This Row],[Marks]]&gt;=80,"A",IF(Student_Data[[#This Row],[Marks]]&gt;=70,"B",IF(Student_Data[[#This Row],[Marks]]&gt;=60,"C","F"))))</f>
        <v>A</v>
      </c>
      <c r="K416" t="str">
        <f>IF(Student_Data[[#This Row],[Marks]]&gt;=35,"Pass","Fail")</f>
        <v>Pass</v>
      </c>
    </row>
    <row r="417" spans="1:11" x14ac:dyDescent="0.3">
      <c r="A417" t="s">
        <v>538</v>
      </c>
      <c r="B417" t="s">
        <v>57</v>
      </c>
      <c r="C417" t="s">
        <v>25</v>
      </c>
      <c r="D417">
        <v>8</v>
      </c>
      <c r="E417" t="s">
        <v>12</v>
      </c>
      <c r="F417" t="s">
        <v>26</v>
      </c>
      <c r="G417">
        <v>55</v>
      </c>
      <c r="H417">
        <v>81</v>
      </c>
      <c r="I417" t="s">
        <v>19</v>
      </c>
      <c r="J417" t="str">
        <f>IF(Student_Data[[#This Row],[Marks]] &gt;= 90,"A+",IF(Student_Data[[#This Row],[Marks]]&gt;=80,"A",IF(Student_Data[[#This Row],[Marks]]&gt;=70,"B",IF(Student_Data[[#This Row],[Marks]]&gt;=60,"C","F"))))</f>
        <v>F</v>
      </c>
      <c r="K417" t="str">
        <f>IF(Student_Data[[#This Row],[Marks]]&gt;=35,"Pass","Fail")</f>
        <v>Pass</v>
      </c>
    </row>
    <row r="418" spans="1:11" x14ac:dyDescent="0.3">
      <c r="A418" t="s">
        <v>539</v>
      </c>
      <c r="B418" t="s">
        <v>182</v>
      </c>
      <c r="C418" t="s">
        <v>25</v>
      </c>
      <c r="D418">
        <v>7</v>
      </c>
      <c r="E418" t="s">
        <v>12</v>
      </c>
      <c r="F418" t="s">
        <v>18</v>
      </c>
      <c r="G418">
        <v>93</v>
      </c>
      <c r="H418">
        <v>89</v>
      </c>
      <c r="I418" t="s">
        <v>19</v>
      </c>
      <c r="J418" t="str">
        <f>IF(Student_Data[[#This Row],[Marks]] &gt;= 90,"A+",IF(Student_Data[[#This Row],[Marks]]&gt;=80,"A",IF(Student_Data[[#This Row],[Marks]]&gt;=70,"B",IF(Student_Data[[#This Row],[Marks]]&gt;=60,"C","F"))))</f>
        <v>A+</v>
      </c>
      <c r="K418" t="str">
        <f>IF(Student_Data[[#This Row],[Marks]]&gt;=35,"Pass","Fail")</f>
        <v>Pass</v>
      </c>
    </row>
    <row r="419" spans="1:11" x14ac:dyDescent="0.3">
      <c r="A419" t="s">
        <v>540</v>
      </c>
      <c r="B419" t="s">
        <v>214</v>
      </c>
      <c r="C419" t="s">
        <v>25</v>
      </c>
      <c r="D419">
        <v>6</v>
      </c>
      <c r="E419" t="s">
        <v>33</v>
      </c>
      <c r="F419" t="s">
        <v>43</v>
      </c>
      <c r="G419">
        <v>81</v>
      </c>
      <c r="H419">
        <v>76</v>
      </c>
      <c r="I419" t="s">
        <v>49</v>
      </c>
      <c r="J419" t="str">
        <f>IF(Student_Data[[#This Row],[Marks]] &gt;= 90,"A+",IF(Student_Data[[#This Row],[Marks]]&gt;=80,"A",IF(Student_Data[[#This Row],[Marks]]&gt;=70,"B",IF(Student_Data[[#This Row],[Marks]]&gt;=60,"C","F"))))</f>
        <v>A</v>
      </c>
      <c r="K419" t="str">
        <f>IF(Student_Data[[#This Row],[Marks]]&gt;=35,"Pass","Fail")</f>
        <v>Pass</v>
      </c>
    </row>
    <row r="420" spans="1:11" x14ac:dyDescent="0.3">
      <c r="A420" t="s">
        <v>541</v>
      </c>
      <c r="B420" t="s">
        <v>94</v>
      </c>
      <c r="C420" t="s">
        <v>11</v>
      </c>
      <c r="D420">
        <v>11</v>
      </c>
      <c r="E420" t="s">
        <v>33</v>
      </c>
      <c r="F420" t="s">
        <v>18</v>
      </c>
      <c r="G420">
        <v>86</v>
      </c>
      <c r="H420">
        <v>96</v>
      </c>
      <c r="I420" t="s">
        <v>35</v>
      </c>
      <c r="J420" t="str">
        <f>IF(Student_Data[[#This Row],[Marks]] &gt;= 90,"A+",IF(Student_Data[[#This Row],[Marks]]&gt;=80,"A",IF(Student_Data[[#This Row],[Marks]]&gt;=70,"B",IF(Student_Data[[#This Row],[Marks]]&gt;=60,"C","F"))))</f>
        <v>A</v>
      </c>
      <c r="K420" t="str">
        <f>IF(Student_Data[[#This Row],[Marks]]&gt;=35,"Pass","Fail")</f>
        <v>Pass</v>
      </c>
    </row>
    <row r="421" spans="1:11" x14ac:dyDescent="0.3">
      <c r="A421" t="s">
        <v>542</v>
      </c>
      <c r="B421" t="s">
        <v>102</v>
      </c>
      <c r="C421" t="s">
        <v>11</v>
      </c>
      <c r="D421">
        <v>8</v>
      </c>
      <c r="E421" t="s">
        <v>33</v>
      </c>
      <c r="F421" t="s">
        <v>43</v>
      </c>
      <c r="G421">
        <v>77</v>
      </c>
      <c r="H421">
        <v>82</v>
      </c>
      <c r="I421" t="s">
        <v>31</v>
      </c>
      <c r="J421" t="str">
        <f>IF(Student_Data[[#This Row],[Marks]] &gt;= 90,"A+",IF(Student_Data[[#This Row],[Marks]]&gt;=80,"A",IF(Student_Data[[#This Row],[Marks]]&gt;=70,"B",IF(Student_Data[[#This Row],[Marks]]&gt;=60,"C","F"))))</f>
        <v>B</v>
      </c>
      <c r="K421" t="str">
        <f>IF(Student_Data[[#This Row],[Marks]]&gt;=35,"Pass","Fail")</f>
        <v>Pass</v>
      </c>
    </row>
    <row r="422" spans="1:11" x14ac:dyDescent="0.3">
      <c r="A422" t="s">
        <v>543</v>
      </c>
      <c r="B422" t="s">
        <v>423</v>
      </c>
      <c r="C422" t="s">
        <v>11</v>
      </c>
      <c r="D422">
        <v>6</v>
      </c>
      <c r="E422" t="s">
        <v>33</v>
      </c>
      <c r="F422" t="s">
        <v>26</v>
      </c>
      <c r="G422">
        <v>98</v>
      </c>
      <c r="H422">
        <v>62</v>
      </c>
      <c r="I422" t="s">
        <v>35</v>
      </c>
      <c r="J422" t="str">
        <f>IF(Student_Data[[#This Row],[Marks]] &gt;= 90,"A+",IF(Student_Data[[#This Row],[Marks]]&gt;=80,"A",IF(Student_Data[[#This Row],[Marks]]&gt;=70,"B",IF(Student_Data[[#This Row],[Marks]]&gt;=60,"C","F"))))</f>
        <v>A+</v>
      </c>
      <c r="K422" t="str">
        <f>IF(Student_Data[[#This Row],[Marks]]&gt;=35,"Pass","Fail")</f>
        <v>Pass</v>
      </c>
    </row>
    <row r="423" spans="1:11" x14ac:dyDescent="0.3">
      <c r="A423" t="s">
        <v>544</v>
      </c>
      <c r="B423" t="s">
        <v>211</v>
      </c>
      <c r="C423" t="s">
        <v>25</v>
      </c>
      <c r="D423">
        <v>9</v>
      </c>
      <c r="E423" t="s">
        <v>12</v>
      </c>
      <c r="F423" t="s">
        <v>22</v>
      </c>
      <c r="G423">
        <v>70</v>
      </c>
      <c r="H423">
        <v>88</v>
      </c>
      <c r="I423" t="s">
        <v>19</v>
      </c>
      <c r="J423" t="str">
        <f>IF(Student_Data[[#This Row],[Marks]] &gt;= 90,"A+",IF(Student_Data[[#This Row],[Marks]]&gt;=80,"A",IF(Student_Data[[#This Row],[Marks]]&gt;=70,"B",IF(Student_Data[[#This Row],[Marks]]&gt;=60,"C","F"))))</f>
        <v>B</v>
      </c>
      <c r="K423" t="str">
        <f>IF(Student_Data[[#This Row],[Marks]]&gt;=35,"Pass","Fail")</f>
        <v>Pass</v>
      </c>
    </row>
    <row r="424" spans="1:11" x14ac:dyDescent="0.3">
      <c r="A424" t="s">
        <v>545</v>
      </c>
      <c r="B424" t="s">
        <v>226</v>
      </c>
      <c r="C424" t="s">
        <v>25</v>
      </c>
      <c r="D424">
        <v>7</v>
      </c>
      <c r="E424" t="s">
        <v>33</v>
      </c>
      <c r="F424" t="s">
        <v>26</v>
      </c>
      <c r="G424">
        <v>77</v>
      </c>
      <c r="H424">
        <v>89</v>
      </c>
      <c r="I424" t="s">
        <v>31</v>
      </c>
      <c r="J424" t="str">
        <f>IF(Student_Data[[#This Row],[Marks]] &gt;= 90,"A+",IF(Student_Data[[#This Row],[Marks]]&gt;=80,"A",IF(Student_Data[[#This Row],[Marks]]&gt;=70,"B",IF(Student_Data[[#This Row],[Marks]]&gt;=60,"C","F"))))</f>
        <v>B</v>
      </c>
      <c r="K424" t="str">
        <f>IF(Student_Data[[#This Row],[Marks]]&gt;=35,"Pass","Fail")</f>
        <v>Pass</v>
      </c>
    </row>
    <row r="425" spans="1:11" x14ac:dyDescent="0.3">
      <c r="A425" t="s">
        <v>546</v>
      </c>
      <c r="B425" t="s">
        <v>42</v>
      </c>
      <c r="C425" t="s">
        <v>25</v>
      </c>
      <c r="D425">
        <v>11</v>
      </c>
      <c r="E425" t="s">
        <v>17</v>
      </c>
      <c r="F425" t="s">
        <v>22</v>
      </c>
      <c r="G425">
        <v>92</v>
      </c>
      <c r="H425">
        <v>62</v>
      </c>
      <c r="I425" t="s">
        <v>49</v>
      </c>
      <c r="J425" t="str">
        <f>IF(Student_Data[[#This Row],[Marks]] &gt;= 90,"A+",IF(Student_Data[[#This Row],[Marks]]&gt;=80,"A",IF(Student_Data[[#This Row],[Marks]]&gt;=70,"B",IF(Student_Data[[#This Row],[Marks]]&gt;=60,"C","F"))))</f>
        <v>A+</v>
      </c>
      <c r="K425" t="str">
        <f>IF(Student_Data[[#This Row],[Marks]]&gt;=35,"Pass","Fail")</f>
        <v>Pass</v>
      </c>
    </row>
    <row r="426" spans="1:11" x14ac:dyDescent="0.3">
      <c r="A426" t="s">
        <v>547</v>
      </c>
      <c r="B426" t="s">
        <v>55</v>
      </c>
      <c r="C426" t="s">
        <v>25</v>
      </c>
      <c r="D426">
        <v>6</v>
      </c>
      <c r="E426" t="s">
        <v>33</v>
      </c>
      <c r="F426" t="s">
        <v>18</v>
      </c>
      <c r="G426">
        <v>91</v>
      </c>
      <c r="H426">
        <v>67</v>
      </c>
      <c r="I426" t="s">
        <v>14</v>
      </c>
      <c r="J426" t="str">
        <f>IF(Student_Data[[#This Row],[Marks]] &gt;= 90,"A+",IF(Student_Data[[#This Row],[Marks]]&gt;=80,"A",IF(Student_Data[[#This Row],[Marks]]&gt;=70,"B",IF(Student_Data[[#This Row],[Marks]]&gt;=60,"C","F"))))</f>
        <v>A+</v>
      </c>
      <c r="K426" t="str">
        <f>IF(Student_Data[[#This Row],[Marks]]&gt;=35,"Pass","Fail")</f>
        <v>Pass</v>
      </c>
    </row>
    <row r="427" spans="1:11" x14ac:dyDescent="0.3">
      <c r="A427" t="s">
        <v>548</v>
      </c>
      <c r="B427" t="s">
        <v>88</v>
      </c>
      <c r="C427" t="s">
        <v>25</v>
      </c>
      <c r="D427">
        <v>9</v>
      </c>
      <c r="E427" t="s">
        <v>12</v>
      </c>
      <c r="F427" t="s">
        <v>26</v>
      </c>
      <c r="G427">
        <v>62</v>
      </c>
      <c r="H427">
        <v>89</v>
      </c>
      <c r="I427" t="s">
        <v>35</v>
      </c>
      <c r="J427" t="str">
        <f>IF(Student_Data[[#This Row],[Marks]] &gt;= 90,"A+",IF(Student_Data[[#This Row],[Marks]]&gt;=80,"A",IF(Student_Data[[#This Row],[Marks]]&gt;=70,"B",IF(Student_Data[[#This Row],[Marks]]&gt;=60,"C","F"))))</f>
        <v>C</v>
      </c>
      <c r="K427" t="str">
        <f>IF(Student_Data[[#This Row],[Marks]]&gt;=35,"Pass","Fail")</f>
        <v>Pass</v>
      </c>
    </row>
    <row r="428" spans="1:11" x14ac:dyDescent="0.3">
      <c r="A428" t="s">
        <v>549</v>
      </c>
      <c r="B428" t="s">
        <v>53</v>
      </c>
      <c r="C428" t="s">
        <v>11</v>
      </c>
      <c r="D428">
        <v>7</v>
      </c>
      <c r="E428" t="s">
        <v>17</v>
      </c>
      <c r="F428" t="s">
        <v>34</v>
      </c>
      <c r="G428">
        <v>77</v>
      </c>
      <c r="H428">
        <v>83</v>
      </c>
      <c r="I428" t="s">
        <v>35</v>
      </c>
      <c r="J428" t="str">
        <f>IF(Student_Data[[#This Row],[Marks]] &gt;= 90,"A+",IF(Student_Data[[#This Row],[Marks]]&gt;=80,"A",IF(Student_Data[[#This Row],[Marks]]&gt;=70,"B",IF(Student_Data[[#This Row],[Marks]]&gt;=60,"C","F"))))</f>
        <v>B</v>
      </c>
      <c r="K428" t="str">
        <f>IF(Student_Data[[#This Row],[Marks]]&gt;=35,"Pass","Fail")</f>
        <v>Pass</v>
      </c>
    </row>
    <row r="429" spans="1:11" x14ac:dyDescent="0.3">
      <c r="A429" t="s">
        <v>550</v>
      </c>
      <c r="B429" t="s">
        <v>24</v>
      </c>
      <c r="C429" t="s">
        <v>11</v>
      </c>
      <c r="D429">
        <v>10</v>
      </c>
      <c r="E429" t="s">
        <v>12</v>
      </c>
      <c r="F429" t="s">
        <v>34</v>
      </c>
      <c r="G429">
        <v>35</v>
      </c>
      <c r="H429">
        <v>95</v>
      </c>
      <c r="I429" t="s">
        <v>19</v>
      </c>
      <c r="J429" t="str">
        <f>IF(Student_Data[[#This Row],[Marks]] &gt;= 90,"A+",IF(Student_Data[[#This Row],[Marks]]&gt;=80,"A",IF(Student_Data[[#This Row],[Marks]]&gt;=70,"B",IF(Student_Data[[#This Row],[Marks]]&gt;=60,"C","F"))))</f>
        <v>F</v>
      </c>
      <c r="K429" t="str">
        <f>IF(Student_Data[[#This Row],[Marks]]&gt;=35,"Pass","Fail")</f>
        <v>Pass</v>
      </c>
    </row>
    <row r="430" spans="1:11" x14ac:dyDescent="0.3">
      <c r="A430" t="s">
        <v>551</v>
      </c>
      <c r="B430" t="s">
        <v>370</v>
      </c>
      <c r="C430" t="s">
        <v>25</v>
      </c>
      <c r="D430">
        <v>6</v>
      </c>
      <c r="E430" t="s">
        <v>12</v>
      </c>
      <c r="F430" t="s">
        <v>43</v>
      </c>
      <c r="G430">
        <v>82</v>
      </c>
      <c r="H430">
        <v>71</v>
      </c>
      <c r="I430" t="s">
        <v>31</v>
      </c>
      <c r="J430" t="str">
        <f>IF(Student_Data[[#This Row],[Marks]] &gt;= 90,"A+",IF(Student_Data[[#This Row],[Marks]]&gt;=80,"A",IF(Student_Data[[#This Row],[Marks]]&gt;=70,"B",IF(Student_Data[[#This Row],[Marks]]&gt;=60,"C","F"))))</f>
        <v>A</v>
      </c>
      <c r="K430" t="str">
        <f>IF(Student_Data[[#This Row],[Marks]]&gt;=35,"Pass","Fail")</f>
        <v>Pass</v>
      </c>
    </row>
    <row r="431" spans="1:11" x14ac:dyDescent="0.3">
      <c r="A431" t="s">
        <v>552</v>
      </c>
      <c r="B431" t="s">
        <v>70</v>
      </c>
      <c r="C431" t="s">
        <v>25</v>
      </c>
      <c r="D431">
        <v>6</v>
      </c>
      <c r="E431" t="s">
        <v>33</v>
      </c>
      <c r="F431" t="s">
        <v>13</v>
      </c>
      <c r="G431">
        <v>88</v>
      </c>
      <c r="H431">
        <v>96</v>
      </c>
      <c r="I431" t="s">
        <v>40</v>
      </c>
      <c r="J431" t="str">
        <f>IF(Student_Data[[#This Row],[Marks]] &gt;= 90,"A+",IF(Student_Data[[#This Row],[Marks]]&gt;=80,"A",IF(Student_Data[[#This Row],[Marks]]&gt;=70,"B",IF(Student_Data[[#This Row],[Marks]]&gt;=60,"C","F"))))</f>
        <v>A</v>
      </c>
      <c r="K431" t="str">
        <f>IF(Student_Data[[#This Row],[Marks]]&gt;=35,"Pass","Fail")</f>
        <v>Pass</v>
      </c>
    </row>
    <row r="432" spans="1:11" x14ac:dyDescent="0.3">
      <c r="A432" t="s">
        <v>553</v>
      </c>
      <c r="B432" t="s">
        <v>94</v>
      </c>
      <c r="C432" t="s">
        <v>11</v>
      </c>
      <c r="D432">
        <v>8</v>
      </c>
      <c r="E432" t="s">
        <v>17</v>
      </c>
      <c r="F432" t="s">
        <v>34</v>
      </c>
      <c r="G432">
        <v>88</v>
      </c>
      <c r="H432">
        <v>88</v>
      </c>
      <c r="I432" t="s">
        <v>35</v>
      </c>
      <c r="J432" t="str">
        <f>IF(Student_Data[[#This Row],[Marks]] &gt;= 90,"A+",IF(Student_Data[[#This Row],[Marks]]&gt;=80,"A",IF(Student_Data[[#This Row],[Marks]]&gt;=70,"B",IF(Student_Data[[#This Row],[Marks]]&gt;=60,"C","F"))))</f>
        <v>A</v>
      </c>
      <c r="K432" t="str">
        <f>IF(Student_Data[[#This Row],[Marks]]&gt;=35,"Pass","Fail")</f>
        <v>Pass</v>
      </c>
    </row>
    <row r="433" spans="1:11" x14ac:dyDescent="0.3">
      <c r="A433" t="s">
        <v>554</v>
      </c>
      <c r="B433" t="s">
        <v>214</v>
      </c>
      <c r="C433" t="s">
        <v>25</v>
      </c>
      <c r="D433">
        <v>9</v>
      </c>
      <c r="E433" t="s">
        <v>12</v>
      </c>
      <c r="F433" t="s">
        <v>26</v>
      </c>
      <c r="G433">
        <v>39</v>
      </c>
      <c r="H433">
        <v>65</v>
      </c>
      <c r="I433" t="s">
        <v>49</v>
      </c>
      <c r="J433" t="str">
        <f>IF(Student_Data[[#This Row],[Marks]] &gt;= 90,"A+",IF(Student_Data[[#This Row],[Marks]]&gt;=80,"A",IF(Student_Data[[#This Row],[Marks]]&gt;=70,"B",IF(Student_Data[[#This Row],[Marks]]&gt;=60,"C","F"))))</f>
        <v>F</v>
      </c>
      <c r="K433" t="str">
        <f>IF(Student_Data[[#This Row],[Marks]]&gt;=35,"Pass","Fail")</f>
        <v>Pass</v>
      </c>
    </row>
    <row r="434" spans="1:11" x14ac:dyDescent="0.3">
      <c r="A434" t="s">
        <v>555</v>
      </c>
      <c r="B434" t="s">
        <v>247</v>
      </c>
      <c r="C434" t="s">
        <v>11</v>
      </c>
      <c r="D434">
        <v>7</v>
      </c>
      <c r="E434" t="s">
        <v>12</v>
      </c>
      <c r="F434" t="s">
        <v>34</v>
      </c>
      <c r="G434">
        <v>36</v>
      </c>
      <c r="H434">
        <v>89</v>
      </c>
      <c r="I434" t="s">
        <v>19</v>
      </c>
      <c r="J434" t="str">
        <f>IF(Student_Data[[#This Row],[Marks]] &gt;= 90,"A+",IF(Student_Data[[#This Row],[Marks]]&gt;=80,"A",IF(Student_Data[[#This Row],[Marks]]&gt;=70,"B",IF(Student_Data[[#This Row],[Marks]]&gt;=60,"C","F"))))</f>
        <v>F</v>
      </c>
      <c r="K434" t="str">
        <f>IF(Student_Data[[#This Row],[Marks]]&gt;=35,"Pass","Fail")</f>
        <v>Pass</v>
      </c>
    </row>
    <row r="435" spans="1:11" x14ac:dyDescent="0.3">
      <c r="A435" t="s">
        <v>556</v>
      </c>
      <c r="B435" t="s">
        <v>168</v>
      </c>
      <c r="C435" t="s">
        <v>11</v>
      </c>
      <c r="D435">
        <v>11</v>
      </c>
      <c r="E435" t="s">
        <v>17</v>
      </c>
      <c r="F435" t="s">
        <v>43</v>
      </c>
      <c r="G435">
        <v>39</v>
      </c>
      <c r="H435">
        <v>93</v>
      </c>
      <c r="I435" t="s">
        <v>35</v>
      </c>
      <c r="J435" t="str">
        <f>IF(Student_Data[[#This Row],[Marks]] &gt;= 90,"A+",IF(Student_Data[[#This Row],[Marks]]&gt;=80,"A",IF(Student_Data[[#This Row],[Marks]]&gt;=70,"B",IF(Student_Data[[#This Row],[Marks]]&gt;=60,"C","F"))))</f>
        <v>F</v>
      </c>
      <c r="K435" t="str">
        <f>IF(Student_Data[[#This Row],[Marks]]&gt;=35,"Pass","Fail")</f>
        <v>Pass</v>
      </c>
    </row>
    <row r="436" spans="1:11" x14ac:dyDescent="0.3">
      <c r="A436" t="s">
        <v>557</v>
      </c>
      <c r="B436" t="s">
        <v>214</v>
      </c>
      <c r="C436" t="s">
        <v>11</v>
      </c>
      <c r="D436">
        <v>9</v>
      </c>
      <c r="E436" t="s">
        <v>12</v>
      </c>
      <c r="F436" t="s">
        <v>26</v>
      </c>
      <c r="G436">
        <v>80</v>
      </c>
      <c r="H436">
        <v>86</v>
      </c>
      <c r="I436" t="s">
        <v>40</v>
      </c>
      <c r="J436" t="str">
        <f>IF(Student_Data[[#This Row],[Marks]] &gt;= 90,"A+",IF(Student_Data[[#This Row],[Marks]]&gt;=80,"A",IF(Student_Data[[#This Row],[Marks]]&gt;=70,"B",IF(Student_Data[[#This Row],[Marks]]&gt;=60,"C","F"))))</f>
        <v>A</v>
      </c>
      <c r="K436" t="str">
        <f>IF(Student_Data[[#This Row],[Marks]]&gt;=35,"Pass","Fail")</f>
        <v>Pass</v>
      </c>
    </row>
    <row r="437" spans="1:11" x14ac:dyDescent="0.3">
      <c r="A437" t="s">
        <v>558</v>
      </c>
      <c r="B437" t="s">
        <v>211</v>
      </c>
      <c r="C437" t="s">
        <v>25</v>
      </c>
      <c r="D437">
        <v>9</v>
      </c>
      <c r="E437" t="s">
        <v>17</v>
      </c>
      <c r="F437" t="s">
        <v>13</v>
      </c>
      <c r="G437">
        <v>82</v>
      </c>
      <c r="H437">
        <v>91</v>
      </c>
      <c r="I437" t="s">
        <v>46</v>
      </c>
      <c r="J437" t="str">
        <f>IF(Student_Data[[#This Row],[Marks]] &gt;= 90,"A+",IF(Student_Data[[#This Row],[Marks]]&gt;=80,"A",IF(Student_Data[[#This Row],[Marks]]&gt;=70,"B",IF(Student_Data[[#This Row],[Marks]]&gt;=60,"C","F"))))</f>
        <v>A</v>
      </c>
      <c r="K437" t="str">
        <f>IF(Student_Data[[#This Row],[Marks]]&gt;=35,"Pass","Fail")</f>
        <v>Pass</v>
      </c>
    </row>
    <row r="438" spans="1:11" x14ac:dyDescent="0.3">
      <c r="A438" t="s">
        <v>559</v>
      </c>
      <c r="B438" t="s">
        <v>268</v>
      </c>
      <c r="C438" t="s">
        <v>25</v>
      </c>
      <c r="D438">
        <v>9</v>
      </c>
      <c r="E438" t="s">
        <v>12</v>
      </c>
      <c r="F438" t="s">
        <v>26</v>
      </c>
      <c r="G438">
        <v>41</v>
      </c>
      <c r="H438">
        <v>100</v>
      </c>
      <c r="I438" t="s">
        <v>19</v>
      </c>
      <c r="J438" t="str">
        <f>IF(Student_Data[[#This Row],[Marks]] &gt;= 90,"A+",IF(Student_Data[[#This Row],[Marks]]&gt;=80,"A",IF(Student_Data[[#This Row],[Marks]]&gt;=70,"B",IF(Student_Data[[#This Row],[Marks]]&gt;=60,"C","F"))))</f>
        <v>F</v>
      </c>
      <c r="K438" t="str">
        <f>IF(Student_Data[[#This Row],[Marks]]&gt;=35,"Pass","Fail")</f>
        <v>Pass</v>
      </c>
    </row>
    <row r="439" spans="1:11" x14ac:dyDescent="0.3">
      <c r="A439" t="s">
        <v>560</v>
      </c>
      <c r="B439" t="s">
        <v>297</v>
      </c>
      <c r="C439" t="s">
        <v>11</v>
      </c>
      <c r="D439">
        <v>9</v>
      </c>
      <c r="E439" t="s">
        <v>33</v>
      </c>
      <c r="F439" t="s">
        <v>13</v>
      </c>
      <c r="G439">
        <v>93</v>
      </c>
      <c r="H439">
        <v>92</v>
      </c>
      <c r="I439" t="s">
        <v>46</v>
      </c>
      <c r="J439" t="str">
        <f>IF(Student_Data[[#This Row],[Marks]] &gt;= 90,"A+",IF(Student_Data[[#This Row],[Marks]]&gt;=80,"A",IF(Student_Data[[#This Row],[Marks]]&gt;=70,"B",IF(Student_Data[[#This Row],[Marks]]&gt;=60,"C","F"))))</f>
        <v>A+</v>
      </c>
      <c r="K439" t="str">
        <f>IF(Student_Data[[#This Row],[Marks]]&gt;=35,"Pass","Fail")</f>
        <v>Pass</v>
      </c>
    </row>
    <row r="440" spans="1:11" x14ac:dyDescent="0.3">
      <c r="A440" t="s">
        <v>561</v>
      </c>
      <c r="B440" t="s">
        <v>186</v>
      </c>
      <c r="C440" t="s">
        <v>11</v>
      </c>
      <c r="D440">
        <v>12</v>
      </c>
      <c r="E440" t="s">
        <v>33</v>
      </c>
      <c r="F440" t="s">
        <v>26</v>
      </c>
      <c r="G440">
        <v>36</v>
      </c>
      <c r="H440">
        <v>60</v>
      </c>
      <c r="I440" t="s">
        <v>46</v>
      </c>
      <c r="J440" t="str">
        <f>IF(Student_Data[[#This Row],[Marks]] &gt;= 90,"A+",IF(Student_Data[[#This Row],[Marks]]&gt;=80,"A",IF(Student_Data[[#This Row],[Marks]]&gt;=70,"B",IF(Student_Data[[#This Row],[Marks]]&gt;=60,"C","F"))))</f>
        <v>F</v>
      </c>
      <c r="K440" t="str">
        <f>IF(Student_Data[[#This Row],[Marks]]&gt;=35,"Pass","Fail")</f>
        <v>Pass</v>
      </c>
    </row>
    <row r="441" spans="1:11" x14ac:dyDescent="0.3">
      <c r="A441" t="s">
        <v>562</v>
      </c>
      <c r="B441" t="s">
        <v>151</v>
      </c>
      <c r="C441" t="s">
        <v>25</v>
      </c>
      <c r="D441">
        <v>6</v>
      </c>
      <c r="E441" t="s">
        <v>17</v>
      </c>
      <c r="F441" t="s">
        <v>18</v>
      </c>
      <c r="G441">
        <v>55</v>
      </c>
      <c r="H441">
        <v>77</v>
      </c>
      <c r="I441" t="s">
        <v>19</v>
      </c>
      <c r="J441" t="str">
        <f>IF(Student_Data[[#This Row],[Marks]] &gt;= 90,"A+",IF(Student_Data[[#This Row],[Marks]]&gt;=80,"A",IF(Student_Data[[#This Row],[Marks]]&gt;=70,"B",IF(Student_Data[[#This Row],[Marks]]&gt;=60,"C","F"))))</f>
        <v>F</v>
      </c>
      <c r="K441" t="str">
        <f>IF(Student_Data[[#This Row],[Marks]]&gt;=35,"Pass","Fail")</f>
        <v>Pass</v>
      </c>
    </row>
    <row r="442" spans="1:11" x14ac:dyDescent="0.3">
      <c r="A442" t="s">
        <v>563</v>
      </c>
      <c r="B442" t="s">
        <v>268</v>
      </c>
      <c r="C442" t="s">
        <v>25</v>
      </c>
      <c r="D442">
        <v>12</v>
      </c>
      <c r="E442" t="s">
        <v>33</v>
      </c>
      <c r="F442" t="s">
        <v>34</v>
      </c>
      <c r="G442">
        <v>86</v>
      </c>
      <c r="H442">
        <v>94</v>
      </c>
      <c r="I442" t="s">
        <v>19</v>
      </c>
      <c r="J442" t="str">
        <f>IF(Student_Data[[#This Row],[Marks]] &gt;= 90,"A+",IF(Student_Data[[#This Row],[Marks]]&gt;=80,"A",IF(Student_Data[[#This Row],[Marks]]&gt;=70,"B",IF(Student_Data[[#This Row],[Marks]]&gt;=60,"C","F"))))</f>
        <v>A</v>
      </c>
      <c r="K442" t="str">
        <f>IF(Student_Data[[#This Row],[Marks]]&gt;=35,"Pass","Fail")</f>
        <v>Pass</v>
      </c>
    </row>
    <row r="443" spans="1:11" x14ac:dyDescent="0.3">
      <c r="A443" t="s">
        <v>564</v>
      </c>
      <c r="B443" t="s">
        <v>94</v>
      </c>
      <c r="C443" t="s">
        <v>25</v>
      </c>
      <c r="D443">
        <v>6</v>
      </c>
      <c r="E443" t="s">
        <v>12</v>
      </c>
      <c r="F443" t="s">
        <v>13</v>
      </c>
      <c r="G443">
        <v>88</v>
      </c>
      <c r="H443">
        <v>78</v>
      </c>
      <c r="I443" t="s">
        <v>49</v>
      </c>
      <c r="J443" t="str">
        <f>IF(Student_Data[[#This Row],[Marks]] &gt;= 90,"A+",IF(Student_Data[[#This Row],[Marks]]&gt;=80,"A",IF(Student_Data[[#This Row],[Marks]]&gt;=70,"B",IF(Student_Data[[#This Row],[Marks]]&gt;=60,"C","F"))))</f>
        <v>A</v>
      </c>
      <c r="K443" t="str">
        <f>IF(Student_Data[[#This Row],[Marks]]&gt;=35,"Pass","Fail")</f>
        <v>Pass</v>
      </c>
    </row>
    <row r="444" spans="1:11" x14ac:dyDescent="0.3">
      <c r="A444" t="s">
        <v>565</v>
      </c>
      <c r="B444" t="s">
        <v>16</v>
      </c>
      <c r="C444" t="s">
        <v>11</v>
      </c>
      <c r="D444">
        <v>6</v>
      </c>
      <c r="E444" t="s">
        <v>17</v>
      </c>
      <c r="F444" t="s">
        <v>22</v>
      </c>
      <c r="G444">
        <v>41</v>
      </c>
      <c r="H444">
        <v>98</v>
      </c>
      <c r="I444" t="s">
        <v>14</v>
      </c>
      <c r="J444" t="str">
        <f>IF(Student_Data[[#This Row],[Marks]] &gt;= 90,"A+",IF(Student_Data[[#This Row],[Marks]]&gt;=80,"A",IF(Student_Data[[#This Row],[Marks]]&gt;=70,"B",IF(Student_Data[[#This Row],[Marks]]&gt;=60,"C","F"))))</f>
        <v>F</v>
      </c>
      <c r="K444" t="str">
        <f>IF(Student_Data[[#This Row],[Marks]]&gt;=35,"Pass","Fail")</f>
        <v>Pass</v>
      </c>
    </row>
    <row r="445" spans="1:11" x14ac:dyDescent="0.3">
      <c r="A445" t="s">
        <v>566</v>
      </c>
      <c r="B445" t="s">
        <v>184</v>
      </c>
      <c r="C445" t="s">
        <v>25</v>
      </c>
      <c r="D445">
        <v>11</v>
      </c>
      <c r="E445" t="s">
        <v>33</v>
      </c>
      <c r="F445" t="s">
        <v>43</v>
      </c>
      <c r="G445">
        <v>61</v>
      </c>
      <c r="H445">
        <v>90</v>
      </c>
      <c r="I445" t="s">
        <v>40</v>
      </c>
      <c r="J445" t="str">
        <f>IF(Student_Data[[#This Row],[Marks]] &gt;= 90,"A+",IF(Student_Data[[#This Row],[Marks]]&gt;=80,"A",IF(Student_Data[[#This Row],[Marks]]&gt;=70,"B",IF(Student_Data[[#This Row],[Marks]]&gt;=60,"C","F"))))</f>
        <v>C</v>
      </c>
      <c r="K445" t="str">
        <f>IF(Student_Data[[#This Row],[Marks]]&gt;=35,"Pass","Fail")</f>
        <v>Pass</v>
      </c>
    </row>
    <row r="446" spans="1:11" x14ac:dyDescent="0.3">
      <c r="A446" t="s">
        <v>567</v>
      </c>
      <c r="B446" t="s">
        <v>204</v>
      </c>
      <c r="C446" t="s">
        <v>25</v>
      </c>
      <c r="D446">
        <v>10</v>
      </c>
      <c r="E446" t="s">
        <v>33</v>
      </c>
      <c r="F446" t="s">
        <v>26</v>
      </c>
      <c r="G446">
        <v>69</v>
      </c>
      <c r="H446">
        <v>82</v>
      </c>
      <c r="I446" t="s">
        <v>49</v>
      </c>
      <c r="J446" t="str">
        <f>IF(Student_Data[[#This Row],[Marks]] &gt;= 90,"A+",IF(Student_Data[[#This Row],[Marks]]&gt;=80,"A",IF(Student_Data[[#This Row],[Marks]]&gt;=70,"B",IF(Student_Data[[#This Row],[Marks]]&gt;=60,"C","F"))))</f>
        <v>C</v>
      </c>
      <c r="K446" t="str">
        <f>IF(Student_Data[[#This Row],[Marks]]&gt;=35,"Pass","Fail")</f>
        <v>Pass</v>
      </c>
    </row>
    <row r="447" spans="1:11" x14ac:dyDescent="0.3">
      <c r="A447" t="s">
        <v>568</v>
      </c>
      <c r="B447" t="s">
        <v>224</v>
      </c>
      <c r="C447" t="s">
        <v>25</v>
      </c>
      <c r="D447">
        <v>10</v>
      </c>
      <c r="E447" t="s">
        <v>17</v>
      </c>
      <c r="F447" t="s">
        <v>18</v>
      </c>
      <c r="G447">
        <v>80</v>
      </c>
      <c r="H447">
        <v>90</v>
      </c>
      <c r="I447" t="s">
        <v>14</v>
      </c>
      <c r="J447" t="str">
        <f>IF(Student_Data[[#This Row],[Marks]] &gt;= 90,"A+",IF(Student_Data[[#This Row],[Marks]]&gt;=80,"A",IF(Student_Data[[#This Row],[Marks]]&gt;=70,"B",IF(Student_Data[[#This Row],[Marks]]&gt;=60,"C","F"))))</f>
        <v>A</v>
      </c>
      <c r="K447" t="str">
        <f>IF(Student_Data[[#This Row],[Marks]]&gt;=35,"Pass","Fail")</f>
        <v>Pass</v>
      </c>
    </row>
    <row r="448" spans="1:11" x14ac:dyDescent="0.3">
      <c r="A448" t="s">
        <v>569</v>
      </c>
      <c r="B448" t="s">
        <v>268</v>
      </c>
      <c r="C448" t="s">
        <v>25</v>
      </c>
      <c r="D448">
        <v>9</v>
      </c>
      <c r="E448" t="s">
        <v>33</v>
      </c>
      <c r="F448" t="s">
        <v>18</v>
      </c>
      <c r="G448">
        <v>89</v>
      </c>
      <c r="H448">
        <v>60</v>
      </c>
      <c r="I448" t="s">
        <v>19</v>
      </c>
      <c r="J448" t="str">
        <f>IF(Student_Data[[#This Row],[Marks]] &gt;= 90,"A+",IF(Student_Data[[#This Row],[Marks]]&gt;=80,"A",IF(Student_Data[[#This Row],[Marks]]&gt;=70,"B",IF(Student_Data[[#This Row],[Marks]]&gt;=60,"C","F"))))</f>
        <v>A</v>
      </c>
      <c r="K448" t="str">
        <f>IF(Student_Data[[#This Row],[Marks]]&gt;=35,"Pass","Fail")</f>
        <v>Pass</v>
      </c>
    </row>
    <row r="449" spans="1:11" x14ac:dyDescent="0.3">
      <c r="A449" t="s">
        <v>570</v>
      </c>
      <c r="B449" t="s">
        <v>102</v>
      </c>
      <c r="C449" t="s">
        <v>25</v>
      </c>
      <c r="D449">
        <v>10</v>
      </c>
      <c r="E449" t="s">
        <v>12</v>
      </c>
      <c r="F449" t="s">
        <v>34</v>
      </c>
      <c r="G449">
        <v>39</v>
      </c>
      <c r="H449">
        <v>91</v>
      </c>
      <c r="I449" t="s">
        <v>19</v>
      </c>
      <c r="J449" t="str">
        <f>IF(Student_Data[[#This Row],[Marks]] &gt;= 90,"A+",IF(Student_Data[[#This Row],[Marks]]&gt;=80,"A",IF(Student_Data[[#This Row],[Marks]]&gt;=70,"B",IF(Student_Data[[#This Row],[Marks]]&gt;=60,"C","F"))))</f>
        <v>F</v>
      </c>
      <c r="K449" t="str">
        <f>IF(Student_Data[[#This Row],[Marks]]&gt;=35,"Pass","Fail")</f>
        <v>Pass</v>
      </c>
    </row>
    <row r="450" spans="1:11" x14ac:dyDescent="0.3">
      <c r="A450" t="s">
        <v>571</v>
      </c>
      <c r="B450" t="s">
        <v>401</v>
      </c>
      <c r="C450" t="s">
        <v>25</v>
      </c>
      <c r="D450">
        <v>10</v>
      </c>
      <c r="E450" t="s">
        <v>12</v>
      </c>
      <c r="F450" t="s">
        <v>18</v>
      </c>
      <c r="G450">
        <v>50</v>
      </c>
      <c r="H450">
        <v>99</v>
      </c>
      <c r="I450" t="s">
        <v>40</v>
      </c>
      <c r="J450" t="str">
        <f>IF(Student_Data[[#This Row],[Marks]] &gt;= 90,"A+",IF(Student_Data[[#This Row],[Marks]]&gt;=80,"A",IF(Student_Data[[#This Row],[Marks]]&gt;=70,"B",IF(Student_Data[[#This Row],[Marks]]&gt;=60,"C","F"))))</f>
        <v>F</v>
      </c>
      <c r="K450" t="str">
        <f>IF(Student_Data[[#This Row],[Marks]]&gt;=35,"Pass","Fail")</f>
        <v>Pass</v>
      </c>
    </row>
    <row r="451" spans="1:11" x14ac:dyDescent="0.3">
      <c r="A451" t="s">
        <v>572</v>
      </c>
      <c r="B451" t="s">
        <v>230</v>
      </c>
      <c r="C451" t="s">
        <v>11</v>
      </c>
      <c r="D451">
        <v>8</v>
      </c>
      <c r="E451" t="s">
        <v>12</v>
      </c>
      <c r="F451" t="s">
        <v>22</v>
      </c>
      <c r="G451">
        <v>76</v>
      </c>
      <c r="H451">
        <v>80</v>
      </c>
      <c r="I451" t="s">
        <v>14</v>
      </c>
      <c r="J451" t="str">
        <f>IF(Student_Data[[#This Row],[Marks]] &gt;= 90,"A+",IF(Student_Data[[#This Row],[Marks]]&gt;=80,"A",IF(Student_Data[[#This Row],[Marks]]&gt;=70,"B",IF(Student_Data[[#This Row],[Marks]]&gt;=60,"C","F"))))</f>
        <v>B</v>
      </c>
      <c r="K451" t="str">
        <f>IF(Student_Data[[#This Row],[Marks]]&gt;=35,"Pass","Fail")</f>
        <v>Pass</v>
      </c>
    </row>
    <row r="452" spans="1:11" x14ac:dyDescent="0.3">
      <c r="A452" t="s">
        <v>573</v>
      </c>
      <c r="B452" t="s">
        <v>88</v>
      </c>
      <c r="C452" t="s">
        <v>25</v>
      </c>
      <c r="D452">
        <v>6</v>
      </c>
      <c r="E452" t="s">
        <v>33</v>
      </c>
      <c r="F452" t="s">
        <v>43</v>
      </c>
      <c r="G452">
        <v>65</v>
      </c>
      <c r="H452">
        <v>81</v>
      </c>
      <c r="I452" t="s">
        <v>35</v>
      </c>
      <c r="J452" t="str">
        <f>IF(Student_Data[[#This Row],[Marks]] &gt;= 90,"A+",IF(Student_Data[[#This Row],[Marks]]&gt;=80,"A",IF(Student_Data[[#This Row],[Marks]]&gt;=70,"B",IF(Student_Data[[#This Row],[Marks]]&gt;=60,"C","F"))))</f>
        <v>C</v>
      </c>
      <c r="K452" t="str">
        <f>IF(Student_Data[[#This Row],[Marks]]&gt;=35,"Pass","Fail")</f>
        <v>Pass</v>
      </c>
    </row>
    <row r="453" spans="1:11" x14ac:dyDescent="0.3">
      <c r="A453" t="s">
        <v>574</v>
      </c>
      <c r="B453" t="s">
        <v>189</v>
      </c>
      <c r="C453" t="s">
        <v>25</v>
      </c>
      <c r="D453">
        <v>12</v>
      </c>
      <c r="E453" t="s">
        <v>17</v>
      </c>
      <c r="F453" t="s">
        <v>34</v>
      </c>
      <c r="G453">
        <v>89</v>
      </c>
      <c r="H453">
        <v>90</v>
      </c>
      <c r="I453" t="s">
        <v>40</v>
      </c>
      <c r="J453" t="str">
        <f>IF(Student_Data[[#This Row],[Marks]] &gt;= 90,"A+",IF(Student_Data[[#This Row],[Marks]]&gt;=80,"A",IF(Student_Data[[#This Row],[Marks]]&gt;=70,"B",IF(Student_Data[[#This Row],[Marks]]&gt;=60,"C","F"))))</f>
        <v>A</v>
      </c>
      <c r="K453" t="str">
        <f>IF(Student_Data[[#This Row],[Marks]]&gt;=35,"Pass","Fail")</f>
        <v>Pass</v>
      </c>
    </row>
    <row r="454" spans="1:11" x14ac:dyDescent="0.3">
      <c r="A454" t="s">
        <v>575</v>
      </c>
      <c r="B454" t="s">
        <v>204</v>
      </c>
      <c r="C454" t="s">
        <v>25</v>
      </c>
      <c r="D454">
        <v>8</v>
      </c>
      <c r="E454" t="s">
        <v>33</v>
      </c>
      <c r="F454" t="s">
        <v>13</v>
      </c>
      <c r="G454">
        <v>65</v>
      </c>
      <c r="H454">
        <v>74</v>
      </c>
      <c r="I454" t="s">
        <v>46</v>
      </c>
      <c r="J454" t="str">
        <f>IF(Student_Data[[#This Row],[Marks]] &gt;= 90,"A+",IF(Student_Data[[#This Row],[Marks]]&gt;=80,"A",IF(Student_Data[[#This Row],[Marks]]&gt;=70,"B",IF(Student_Data[[#This Row],[Marks]]&gt;=60,"C","F"))))</f>
        <v>C</v>
      </c>
      <c r="K454" t="str">
        <f>IF(Student_Data[[#This Row],[Marks]]&gt;=35,"Pass","Fail")</f>
        <v>Pass</v>
      </c>
    </row>
    <row r="455" spans="1:11" x14ac:dyDescent="0.3">
      <c r="A455" t="s">
        <v>576</v>
      </c>
      <c r="B455" t="s">
        <v>135</v>
      </c>
      <c r="C455" t="s">
        <v>25</v>
      </c>
      <c r="D455">
        <v>8</v>
      </c>
      <c r="E455" t="s">
        <v>33</v>
      </c>
      <c r="F455" t="s">
        <v>26</v>
      </c>
      <c r="G455">
        <v>62</v>
      </c>
      <c r="H455">
        <v>79</v>
      </c>
      <c r="I455" t="s">
        <v>49</v>
      </c>
      <c r="J455" t="str">
        <f>IF(Student_Data[[#This Row],[Marks]] &gt;= 90,"A+",IF(Student_Data[[#This Row],[Marks]]&gt;=80,"A",IF(Student_Data[[#This Row],[Marks]]&gt;=70,"B",IF(Student_Data[[#This Row],[Marks]]&gt;=60,"C","F"))))</f>
        <v>C</v>
      </c>
      <c r="K455" t="str">
        <f>IF(Student_Data[[#This Row],[Marks]]&gt;=35,"Pass","Fail")</f>
        <v>Pass</v>
      </c>
    </row>
    <row r="456" spans="1:11" x14ac:dyDescent="0.3">
      <c r="A456" t="s">
        <v>577</v>
      </c>
      <c r="B456" t="s">
        <v>423</v>
      </c>
      <c r="C456" t="s">
        <v>11</v>
      </c>
      <c r="D456">
        <v>10</v>
      </c>
      <c r="E456" t="s">
        <v>33</v>
      </c>
      <c r="F456" t="s">
        <v>13</v>
      </c>
      <c r="G456">
        <v>59</v>
      </c>
      <c r="H456">
        <v>94</v>
      </c>
      <c r="I456" t="s">
        <v>46</v>
      </c>
      <c r="J456" t="str">
        <f>IF(Student_Data[[#This Row],[Marks]] &gt;= 90,"A+",IF(Student_Data[[#This Row],[Marks]]&gt;=80,"A",IF(Student_Data[[#This Row],[Marks]]&gt;=70,"B",IF(Student_Data[[#This Row],[Marks]]&gt;=60,"C","F"))))</f>
        <v>F</v>
      </c>
      <c r="K456" t="str">
        <f>IF(Student_Data[[#This Row],[Marks]]&gt;=35,"Pass","Fail")</f>
        <v>Pass</v>
      </c>
    </row>
    <row r="457" spans="1:11" x14ac:dyDescent="0.3">
      <c r="A457" t="s">
        <v>578</v>
      </c>
      <c r="B457" t="s">
        <v>118</v>
      </c>
      <c r="C457" t="s">
        <v>11</v>
      </c>
      <c r="D457">
        <v>9</v>
      </c>
      <c r="E457" t="s">
        <v>33</v>
      </c>
      <c r="F457" t="s">
        <v>22</v>
      </c>
      <c r="G457">
        <v>65</v>
      </c>
      <c r="H457">
        <v>86</v>
      </c>
      <c r="I457" t="s">
        <v>35</v>
      </c>
      <c r="J457" t="str">
        <f>IF(Student_Data[[#This Row],[Marks]] &gt;= 90,"A+",IF(Student_Data[[#This Row],[Marks]]&gt;=80,"A",IF(Student_Data[[#This Row],[Marks]]&gt;=70,"B",IF(Student_Data[[#This Row],[Marks]]&gt;=60,"C","F"))))</f>
        <v>C</v>
      </c>
      <c r="K457" t="str">
        <f>IF(Student_Data[[#This Row],[Marks]]&gt;=35,"Pass","Fail")</f>
        <v>Pass</v>
      </c>
    </row>
    <row r="458" spans="1:11" x14ac:dyDescent="0.3">
      <c r="A458" t="s">
        <v>579</v>
      </c>
      <c r="B458" t="s">
        <v>401</v>
      </c>
      <c r="C458" t="s">
        <v>25</v>
      </c>
      <c r="D458">
        <v>7</v>
      </c>
      <c r="E458" t="s">
        <v>12</v>
      </c>
      <c r="F458" t="s">
        <v>34</v>
      </c>
      <c r="G458">
        <v>44</v>
      </c>
      <c r="H458">
        <v>92</v>
      </c>
      <c r="I458" t="s">
        <v>35</v>
      </c>
      <c r="J458" t="str">
        <f>IF(Student_Data[[#This Row],[Marks]] &gt;= 90,"A+",IF(Student_Data[[#This Row],[Marks]]&gt;=80,"A",IF(Student_Data[[#This Row],[Marks]]&gt;=70,"B",IF(Student_Data[[#This Row],[Marks]]&gt;=60,"C","F"))))</f>
        <v>F</v>
      </c>
      <c r="K458" t="str">
        <f>IF(Student_Data[[#This Row],[Marks]]&gt;=35,"Pass","Fail")</f>
        <v>Pass</v>
      </c>
    </row>
    <row r="459" spans="1:11" x14ac:dyDescent="0.3">
      <c r="A459" t="s">
        <v>580</v>
      </c>
      <c r="B459" t="s">
        <v>129</v>
      </c>
      <c r="C459" t="s">
        <v>11</v>
      </c>
      <c r="D459">
        <v>8</v>
      </c>
      <c r="E459" t="s">
        <v>12</v>
      </c>
      <c r="F459" t="s">
        <v>26</v>
      </c>
      <c r="G459">
        <v>69</v>
      </c>
      <c r="H459">
        <v>71</v>
      </c>
      <c r="I459" t="s">
        <v>19</v>
      </c>
      <c r="J459" t="str">
        <f>IF(Student_Data[[#This Row],[Marks]] &gt;= 90,"A+",IF(Student_Data[[#This Row],[Marks]]&gt;=80,"A",IF(Student_Data[[#This Row],[Marks]]&gt;=70,"B",IF(Student_Data[[#This Row],[Marks]]&gt;=60,"C","F"))))</f>
        <v>C</v>
      </c>
      <c r="K459" t="str">
        <f>IF(Student_Data[[#This Row],[Marks]]&gt;=35,"Pass","Fail")</f>
        <v>Pass</v>
      </c>
    </row>
    <row r="460" spans="1:11" x14ac:dyDescent="0.3">
      <c r="A460" t="s">
        <v>581</v>
      </c>
      <c r="B460" t="s">
        <v>242</v>
      </c>
      <c r="C460" t="s">
        <v>25</v>
      </c>
      <c r="D460">
        <v>9</v>
      </c>
      <c r="E460" t="s">
        <v>12</v>
      </c>
      <c r="F460" t="s">
        <v>34</v>
      </c>
      <c r="G460">
        <v>64</v>
      </c>
      <c r="H460">
        <v>77</v>
      </c>
      <c r="I460" t="s">
        <v>40</v>
      </c>
      <c r="J460" t="str">
        <f>IF(Student_Data[[#This Row],[Marks]] &gt;= 90,"A+",IF(Student_Data[[#This Row],[Marks]]&gt;=80,"A",IF(Student_Data[[#This Row],[Marks]]&gt;=70,"B",IF(Student_Data[[#This Row],[Marks]]&gt;=60,"C","F"))))</f>
        <v>C</v>
      </c>
      <c r="K460" t="str">
        <f>IF(Student_Data[[#This Row],[Marks]]&gt;=35,"Pass","Fail")</f>
        <v>Pass</v>
      </c>
    </row>
    <row r="461" spans="1:11" x14ac:dyDescent="0.3">
      <c r="A461" t="s">
        <v>582</v>
      </c>
      <c r="B461" t="s">
        <v>68</v>
      </c>
      <c r="C461" t="s">
        <v>11</v>
      </c>
      <c r="D461">
        <v>7</v>
      </c>
      <c r="E461" t="s">
        <v>17</v>
      </c>
      <c r="F461" t="s">
        <v>34</v>
      </c>
      <c r="G461">
        <v>94</v>
      </c>
      <c r="H461">
        <v>74</v>
      </c>
      <c r="I461" t="s">
        <v>49</v>
      </c>
      <c r="J461" t="str">
        <f>IF(Student_Data[[#This Row],[Marks]] &gt;= 90,"A+",IF(Student_Data[[#This Row],[Marks]]&gt;=80,"A",IF(Student_Data[[#This Row],[Marks]]&gt;=70,"B",IF(Student_Data[[#This Row],[Marks]]&gt;=60,"C","F"))))</f>
        <v>A+</v>
      </c>
      <c r="K461" t="str">
        <f>IF(Student_Data[[#This Row],[Marks]]&gt;=35,"Pass","Fail")</f>
        <v>Pass</v>
      </c>
    </row>
    <row r="462" spans="1:11" x14ac:dyDescent="0.3">
      <c r="A462" t="s">
        <v>583</v>
      </c>
      <c r="B462" t="s">
        <v>230</v>
      </c>
      <c r="C462" t="s">
        <v>11</v>
      </c>
      <c r="D462">
        <v>10</v>
      </c>
      <c r="E462" t="s">
        <v>33</v>
      </c>
      <c r="F462" t="s">
        <v>34</v>
      </c>
      <c r="G462">
        <v>69</v>
      </c>
      <c r="H462">
        <v>91</v>
      </c>
      <c r="I462" t="s">
        <v>35</v>
      </c>
      <c r="J462" t="str">
        <f>IF(Student_Data[[#This Row],[Marks]] &gt;= 90,"A+",IF(Student_Data[[#This Row],[Marks]]&gt;=80,"A",IF(Student_Data[[#This Row],[Marks]]&gt;=70,"B",IF(Student_Data[[#This Row],[Marks]]&gt;=60,"C","F"))))</f>
        <v>C</v>
      </c>
      <c r="K462" t="str">
        <f>IF(Student_Data[[#This Row],[Marks]]&gt;=35,"Pass","Fail")</f>
        <v>Pass</v>
      </c>
    </row>
    <row r="463" spans="1:11" x14ac:dyDescent="0.3">
      <c r="A463" t="s">
        <v>584</v>
      </c>
      <c r="B463" t="s">
        <v>448</v>
      </c>
      <c r="C463" t="s">
        <v>11</v>
      </c>
      <c r="D463">
        <v>8</v>
      </c>
      <c r="E463" t="s">
        <v>33</v>
      </c>
      <c r="F463" t="s">
        <v>13</v>
      </c>
      <c r="G463">
        <v>54</v>
      </c>
      <c r="H463">
        <v>84</v>
      </c>
      <c r="I463" t="s">
        <v>49</v>
      </c>
      <c r="J463" t="str">
        <f>IF(Student_Data[[#This Row],[Marks]] &gt;= 90,"A+",IF(Student_Data[[#This Row],[Marks]]&gt;=80,"A",IF(Student_Data[[#This Row],[Marks]]&gt;=70,"B",IF(Student_Data[[#This Row],[Marks]]&gt;=60,"C","F"))))</f>
        <v>F</v>
      </c>
      <c r="K463" t="str">
        <f>IF(Student_Data[[#This Row],[Marks]]&gt;=35,"Pass","Fail")</f>
        <v>Pass</v>
      </c>
    </row>
    <row r="464" spans="1:11" x14ac:dyDescent="0.3">
      <c r="A464" t="s">
        <v>585</v>
      </c>
      <c r="B464" t="s">
        <v>230</v>
      </c>
      <c r="C464" t="s">
        <v>11</v>
      </c>
      <c r="D464">
        <v>7</v>
      </c>
      <c r="E464" t="s">
        <v>17</v>
      </c>
      <c r="F464" t="s">
        <v>22</v>
      </c>
      <c r="G464">
        <v>56</v>
      </c>
      <c r="H464">
        <v>73</v>
      </c>
      <c r="I464" t="s">
        <v>46</v>
      </c>
      <c r="J464" t="str">
        <f>IF(Student_Data[[#This Row],[Marks]] &gt;= 90,"A+",IF(Student_Data[[#This Row],[Marks]]&gt;=80,"A",IF(Student_Data[[#This Row],[Marks]]&gt;=70,"B",IF(Student_Data[[#This Row],[Marks]]&gt;=60,"C","F"))))</f>
        <v>F</v>
      </c>
      <c r="K464" t="str">
        <f>IF(Student_Data[[#This Row],[Marks]]&gt;=35,"Pass","Fail")</f>
        <v>Pass</v>
      </c>
    </row>
    <row r="465" spans="1:11" x14ac:dyDescent="0.3">
      <c r="A465" t="s">
        <v>586</v>
      </c>
      <c r="B465" t="s">
        <v>114</v>
      </c>
      <c r="C465" t="s">
        <v>25</v>
      </c>
      <c r="D465">
        <v>11</v>
      </c>
      <c r="E465" t="s">
        <v>17</v>
      </c>
      <c r="F465" t="s">
        <v>18</v>
      </c>
      <c r="G465">
        <v>86</v>
      </c>
      <c r="H465">
        <v>69</v>
      </c>
      <c r="I465" t="s">
        <v>35</v>
      </c>
      <c r="J465" t="str">
        <f>IF(Student_Data[[#This Row],[Marks]] &gt;= 90,"A+",IF(Student_Data[[#This Row],[Marks]]&gt;=80,"A",IF(Student_Data[[#This Row],[Marks]]&gt;=70,"B",IF(Student_Data[[#This Row],[Marks]]&gt;=60,"C","F"))))</f>
        <v>A</v>
      </c>
      <c r="K465" t="str">
        <f>IF(Student_Data[[#This Row],[Marks]]&gt;=35,"Pass","Fail")</f>
        <v>Pass</v>
      </c>
    </row>
    <row r="466" spans="1:11" x14ac:dyDescent="0.3">
      <c r="A466" t="s">
        <v>587</v>
      </c>
      <c r="B466" t="s">
        <v>171</v>
      </c>
      <c r="C466" t="s">
        <v>25</v>
      </c>
      <c r="D466">
        <v>10</v>
      </c>
      <c r="E466" t="s">
        <v>33</v>
      </c>
      <c r="F466" t="s">
        <v>34</v>
      </c>
      <c r="G466">
        <v>76</v>
      </c>
      <c r="H466">
        <v>90</v>
      </c>
      <c r="I466" t="s">
        <v>35</v>
      </c>
      <c r="J466" t="str">
        <f>IF(Student_Data[[#This Row],[Marks]] &gt;= 90,"A+",IF(Student_Data[[#This Row],[Marks]]&gt;=80,"A",IF(Student_Data[[#This Row],[Marks]]&gt;=70,"B",IF(Student_Data[[#This Row],[Marks]]&gt;=60,"C","F"))))</f>
        <v>B</v>
      </c>
      <c r="K466" t="str">
        <f>IF(Student_Data[[#This Row],[Marks]]&gt;=35,"Pass","Fail")</f>
        <v>Pass</v>
      </c>
    </row>
    <row r="467" spans="1:11" x14ac:dyDescent="0.3">
      <c r="A467" t="s">
        <v>588</v>
      </c>
      <c r="B467" t="s">
        <v>147</v>
      </c>
      <c r="C467" t="s">
        <v>25</v>
      </c>
      <c r="D467">
        <v>12</v>
      </c>
      <c r="E467" t="s">
        <v>12</v>
      </c>
      <c r="F467" t="s">
        <v>13</v>
      </c>
      <c r="G467">
        <v>63</v>
      </c>
      <c r="H467">
        <v>99</v>
      </c>
      <c r="I467" t="s">
        <v>46</v>
      </c>
      <c r="J467" t="str">
        <f>IF(Student_Data[[#This Row],[Marks]] &gt;= 90,"A+",IF(Student_Data[[#This Row],[Marks]]&gt;=80,"A",IF(Student_Data[[#This Row],[Marks]]&gt;=70,"B",IF(Student_Data[[#This Row],[Marks]]&gt;=60,"C","F"))))</f>
        <v>C</v>
      </c>
      <c r="K467" t="str">
        <f>IF(Student_Data[[#This Row],[Marks]]&gt;=35,"Pass","Fail")</f>
        <v>Pass</v>
      </c>
    </row>
    <row r="468" spans="1:11" x14ac:dyDescent="0.3">
      <c r="A468" t="s">
        <v>589</v>
      </c>
      <c r="B468" t="s">
        <v>198</v>
      </c>
      <c r="C468" t="s">
        <v>25</v>
      </c>
      <c r="D468">
        <v>11</v>
      </c>
      <c r="E468" t="s">
        <v>33</v>
      </c>
      <c r="F468" t="s">
        <v>18</v>
      </c>
      <c r="G468">
        <v>56</v>
      </c>
      <c r="H468">
        <v>68</v>
      </c>
      <c r="I468" t="s">
        <v>49</v>
      </c>
      <c r="J468" t="str">
        <f>IF(Student_Data[[#This Row],[Marks]] &gt;= 90,"A+",IF(Student_Data[[#This Row],[Marks]]&gt;=80,"A",IF(Student_Data[[#This Row],[Marks]]&gt;=70,"B",IF(Student_Data[[#This Row],[Marks]]&gt;=60,"C","F"))))</f>
        <v>F</v>
      </c>
      <c r="K468" t="str">
        <f>IF(Student_Data[[#This Row],[Marks]]&gt;=35,"Pass","Fail")</f>
        <v>Pass</v>
      </c>
    </row>
    <row r="469" spans="1:11" x14ac:dyDescent="0.3">
      <c r="A469" t="s">
        <v>590</v>
      </c>
      <c r="B469" t="s">
        <v>75</v>
      </c>
      <c r="C469" t="s">
        <v>25</v>
      </c>
      <c r="D469">
        <v>8</v>
      </c>
      <c r="E469" t="s">
        <v>12</v>
      </c>
      <c r="F469" t="s">
        <v>34</v>
      </c>
      <c r="G469">
        <v>55</v>
      </c>
      <c r="H469">
        <v>76</v>
      </c>
      <c r="I469" t="s">
        <v>14</v>
      </c>
      <c r="J469" t="str">
        <f>IF(Student_Data[[#This Row],[Marks]] &gt;= 90,"A+",IF(Student_Data[[#This Row],[Marks]]&gt;=80,"A",IF(Student_Data[[#This Row],[Marks]]&gt;=70,"B",IF(Student_Data[[#This Row],[Marks]]&gt;=60,"C","F"))))</f>
        <v>F</v>
      </c>
      <c r="K469" t="str">
        <f>IF(Student_Data[[#This Row],[Marks]]&gt;=35,"Pass","Fail")</f>
        <v>Pass</v>
      </c>
    </row>
    <row r="470" spans="1:11" x14ac:dyDescent="0.3">
      <c r="A470" t="s">
        <v>591</v>
      </c>
      <c r="B470" t="s">
        <v>72</v>
      </c>
      <c r="C470" t="s">
        <v>25</v>
      </c>
      <c r="D470">
        <v>6</v>
      </c>
      <c r="E470" t="s">
        <v>33</v>
      </c>
      <c r="F470" t="s">
        <v>13</v>
      </c>
      <c r="G470">
        <v>63</v>
      </c>
      <c r="H470">
        <v>67</v>
      </c>
      <c r="I470" t="s">
        <v>31</v>
      </c>
      <c r="J470" t="str">
        <f>IF(Student_Data[[#This Row],[Marks]] &gt;= 90,"A+",IF(Student_Data[[#This Row],[Marks]]&gt;=80,"A",IF(Student_Data[[#This Row],[Marks]]&gt;=70,"B",IF(Student_Data[[#This Row],[Marks]]&gt;=60,"C","F"))))</f>
        <v>C</v>
      </c>
      <c r="K470" t="str">
        <f>IF(Student_Data[[#This Row],[Marks]]&gt;=35,"Pass","Fail")</f>
        <v>Pass</v>
      </c>
    </row>
    <row r="471" spans="1:11" x14ac:dyDescent="0.3">
      <c r="A471" t="s">
        <v>592</v>
      </c>
      <c r="B471" t="s">
        <v>129</v>
      </c>
      <c r="C471" t="s">
        <v>25</v>
      </c>
      <c r="D471">
        <v>10</v>
      </c>
      <c r="E471" t="s">
        <v>12</v>
      </c>
      <c r="F471" t="s">
        <v>18</v>
      </c>
      <c r="G471">
        <v>50</v>
      </c>
      <c r="H471">
        <v>74</v>
      </c>
      <c r="I471" t="s">
        <v>14</v>
      </c>
      <c r="J471" t="str">
        <f>IF(Student_Data[[#This Row],[Marks]] &gt;= 90,"A+",IF(Student_Data[[#This Row],[Marks]]&gt;=80,"A",IF(Student_Data[[#This Row],[Marks]]&gt;=70,"B",IF(Student_Data[[#This Row],[Marks]]&gt;=60,"C","F"))))</f>
        <v>F</v>
      </c>
      <c r="K471" t="str">
        <f>IF(Student_Data[[#This Row],[Marks]]&gt;=35,"Pass","Fail")</f>
        <v>Pass</v>
      </c>
    </row>
    <row r="472" spans="1:11" x14ac:dyDescent="0.3">
      <c r="A472" t="s">
        <v>593</v>
      </c>
      <c r="B472" t="s">
        <v>224</v>
      </c>
      <c r="C472" t="s">
        <v>11</v>
      </c>
      <c r="D472">
        <v>8</v>
      </c>
      <c r="E472" t="s">
        <v>33</v>
      </c>
      <c r="F472" t="s">
        <v>34</v>
      </c>
      <c r="G472">
        <v>76</v>
      </c>
      <c r="H472">
        <v>88</v>
      </c>
      <c r="I472" t="s">
        <v>49</v>
      </c>
      <c r="J472" t="str">
        <f>IF(Student_Data[[#This Row],[Marks]] &gt;= 90,"A+",IF(Student_Data[[#This Row],[Marks]]&gt;=80,"A",IF(Student_Data[[#This Row],[Marks]]&gt;=70,"B",IF(Student_Data[[#This Row],[Marks]]&gt;=60,"C","F"))))</f>
        <v>B</v>
      </c>
      <c r="K472" t="str">
        <f>IF(Student_Data[[#This Row],[Marks]]&gt;=35,"Pass","Fail")</f>
        <v>Pass</v>
      </c>
    </row>
    <row r="473" spans="1:11" x14ac:dyDescent="0.3">
      <c r="A473" t="s">
        <v>594</v>
      </c>
      <c r="B473" t="s">
        <v>129</v>
      </c>
      <c r="C473" t="s">
        <v>25</v>
      </c>
      <c r="D473">
        <v>11</v>
      </c>
      <c r="E473" t="s">
        <v>12</v>
      </c>
      <c r="F473" t="s">
        <v>22</v>
      </c>
      <c r="G473">
        <v>87</v>
      </c>
      <c r="H473">
        <v>95</v>
      </c>
      <c r="I473" t="s">
        <v>31</v>
      </c>
      <c r="J473" t="str">
        <f>IF(Student_Data[[#This Row],[Marks]] &gt;= 90,"A+",IF(Student_Data[[#This Row],[Marks]]&gt;=80,"A",IF(Student_Data[[#This Row],[Marks]]&gt;=70,"B",IF(Student_Data[[#This Row],[Marks]]&gt;=60,"C","F"))))</f>
        <v>A</v>
      </c>
      <c r="K473" t="str">
        <f>IF(Student_Data[[#This Row],[Marks]]&gt;=35,"Pass","Fail")</f>
        <v>Pass</v>
      </c>
    </row>
    <row r="474" spans="1:11" x14ac:dyDescent="0.3">
      <c r="A474" t="s">
        <v>595</v>
      </c>
      <c r="B474" t="s">
        <v>211</v>
      </c>
      <c r="C474" t="s">
        <v>25</v>
      </c>
      <c r="D474">
        <v>8</v>
      </c>
      <c r="E474" t="s">
        <v>12</v>
      </c>
      <c r="F474" t="s">
        <v>26</v>
      </c>
      <c r="G474">
        <v>97</v>
      </c>
      <c r="H474">
        <v>69</v>
      </c>
      <c r="I474" t="s">
        <v>35</v>
      </c>
      <c r="J474" t="str">
        <f>IF(Student_Data[[#This Row],[Marks]] &gt;= 90,"A+",IF(Student_Data[[#This Row],[Marks]]&gt;=80,"A",IF(Student_Data[[#This Row],[Marks]]&gt;=70,"B",IF(Student_Data[[#This Row],[Marks]]&gt;=60,"C","F"))))</f>
        <v>A+</v>
      </c>
      <c r="K474" t="str">
        <f>IF(Student_Data[[#This Row],[Marks]]&gt;=35,"Pass","Fail")</f>
        <v>Pass</v>
      </c>
    </row>
    <row r="475" spans="1:11" x14ac:dyDescent="0.3">
      <c r="A475" t="s">
        <v>596</v>
      </c>
      <c r="B475" t="s">
        <v>45</v>
      </c>
      <c r="C475" t="s">
        <v>25</v>
      </c>
      <c r="D475">
        <v>6</v>
      </c>
      <c r="E475" t="s">
        <v>12</v>
      </c>
      <c r="F475" t="s">
        <v>34</v>
      </c>
      <c r="G475">
        <v>68</v>
      </c>
      <c r="H475">
        <v>74</v>
      </c>
      <c r="I475" t="s">
        <v>19</v>
      </c>
      <c r="J475" t="str">
        <f>IF(Student_Data[[#This Row],[Marks]] &gt;= 90,"A+",IF(Student_Data[[#This Row],[Marks]]&gt;=80,"A",IF(Student_Data[[#This Row],[Marks]]&gt;=70,"B",IF(Student_Data[[#This Row],[Marks]]&gt;=60,"C","F"))))</f>
        <v>C</v>
      </c>
      <c r="K475" t="str">
        <f>IF(Student_Data[[#This Row],[Marks]]&gt;=35,"Pass","Fail")</f>
        <v>Pass</v>
      </c>
    </row>
    <row r="476" spans="1:11" x14ac:dyDescent="0.3">
      <c r="A476" t="s">
        <v>597</v>
      </c>
      <c r="B476" t="s">
        <v>123</v>
      </c>
      <c r="C476" t="s">
        <v>25</v>
      </c>
      <c r="D476">
        <v>7</v>
      </c>
      <c r="E476" t="s">
        <v>33</v>
      </c>
      <c r="F476" t="s">
        <v>34</v>
      </c>
      <c r="G476">
        <v>88</v>
      </c>
      <c r="H476">
        <v>88</v>
      </c>
      <c r="I476" t="s">
        <v>46</v>
      </c>
      <c r="J476" t="str">
        <f>IF(Student_Data[[#This Row],[Marks]] &gt;= 90,"A+",IF(Student_Data[[#This Row],[Marks]]&gt;=80,"A",IF(Student_Data[[#This Row],[Marks]]&gt;=70,"B",IF(Student_Data[[#This Row],[Marks]]&gt;=60,"C","F"))))</f>
        <v>A</v>
      </c>
      <c r="K476" t="str">
        <f>IF(Student_Data[[#This Row],[Marks]]&gt;=35,"Pass","Fail")</f>
        <v>Pass</v>
      </c>
    </row>
    <row r="477" spans="1:11" x14ac:dyDescent="0.3">
      <c r="A477" t="s">
        <v>598</v>
      </c>
      <c r="B477" t="s">
        <v>171</v>
      </c>
      <c r="C477" t="s">
        <v>11</v>
      </c>
      <c r="D477">
        <v>9</v>
      </c>
      <c r="E477" t="s">
        <v>12</v>
      </c>
      <c r="F477" t="s">
        <v>34</v>
      </c>
      <c r="G477">
        <v>37</v>
      </c>
      <c r="H477">
        <v>94</v>
      </c>
      <c r="I477" t="s">
        <v>19</v>
      </c>
      <c r="J477" t="str">
        <f>IF(Student_Data[[#This Row],[Marks]] &gt;= 90,"A+",IF(Student_Data[[#This Row],[Marks]]&gt;=80,"A",IF(Student_Data[[#This Row],[Marks]]&gt;=70,"B",IF(Student_Data[[#This Row],[Marks]]&gt;=60,"C","F"))))</f>
        <v>F</v>
      </c>
      <c r="K477" t="str">
        <f>IF(Student_Data[[#This Row],[Marks]]&gt;=35,"Pass","Fail")</f>
        <v>Pass</v>
      </c>
    </row>
    <row r="478" spans="1:11" x14ac:dyDescent="0.3">
      <c r="A478" t="s">
        <v>599</v>
      </c>
      <c r="B478" t="s">
        <v>96</v>
      </c>
      <c r="C478" t="s">
        <v>11</v>
      </c>
      <c r="D478">
        <v>6</v>
      </c>
      <c r="E478" t="s">
        <v>17</v>
      </c>
      <c r="F478" t="s">
        <v>43</v>
      </c>
      <c r="G478">
        <v>62</v>
      </c>
      <c r="H478">
        <v>73</v>
      </c>
      <c r="I478" t="s">
        <v>19</v>
      </c>
      <c r="J478" t="str">
        <f>IF(Student_Data[[#This Row],[Marks]] &gt;= 90,"A+",IF(Student_Data[[#This Row],[Marks]]&gt;=80,"A",IF(Student_Data[[#This Row],[Marks]]&gt;=70,"B",IF(Student_Data[[#This Row],[Marks]]&gt;=60,"C","F"))))</f>
        <v>C</v>
      </c>
      <c r="K478" t="str">
        <f>IF(Student_Data[[#This Row],[Marks]]&gt;=35,"Pass","Fail")</f>
        <v>Pass</v>
      </c>
    </row>
    <row r="479" spans="1:11" x14ac:dyDescent="0.3">
      <c r="A479" t="s">
        <v>600</v>
      </c>
      <c r="B479" t="s">
        <v>214</v>
      </c>
      <c r="C479" t="s">
        <v>25</v>
      </c>
      <c r="D479">
        <v>10</v>
      </c>
      <c r="E479" t="s">
        <v>17</v>
      </c>
      <c r="F479" t="s">
        <v>26</v>
      </c>
      <c r="G479">
        <v>50</v>
      </c>
      <c r="H479">
        <v>73</v>
      </c>
      <c r="I479" t="s">
        <v>31</v>
      </c>
      <c r="J479" t="str">
        <f>IF(Student_Data[[#This Row],[Marks]] &gt;= 90,"A+",IF(Student_Data[[#This Row],[Marks]]&gt;=80,"A",IF(Student_Data[[#This Row],[Marks]]&gt;=70,"B",IF(Student_Data[[#This Row],[Marks]]&gt;=60,"C","F"))))</f>
        <v>F</v>
      </c>
      <c r="K479" t="str">
        <f>IF(Student_Data[[#This Row],[Marks]]&gt;=35,"Pass","Fail")</f>
        <v>Pass</v>
      </c>
    </row>
    <row r="480" spans="1:11" x14ac:dyDescent="0.3">
      <c r="A480" t="s">
        <v>601</v>
      </c>
      <c r="B480" t="s">
        <v>70</v>
      </c>
      <c r="C480" t="s">
        <v>25</v>
      </c>
      <c r="D480">
        <v>6</v>
      </c>
      <c r="E480" t="s">
        <v>17</v>
      </c>
      <c r="F480" t="s">
        <v>34</v>
      </c>
      <c r="G480">
        <v>39</v>
      </c>
      <c r="H480">
        <v>95</v>
      </c>
      <c r="I480" t="s">
        <v>31</v>
      </c>
      <c r="J480" t="str">
        <f>IF(Student_Data[[#This Row],[Marks]] &gt;= 90,"A+",IF(Student_Data[[#This Row],[Marks]]&gt;=80,"A",IF(Student_Data[[#This Row],[Marks]]&gt;=70,"B",IF(Student_Data[[#This Row],[Marks]]&gt;=60,"C","F"))))</f>
        <v>F</v>
      </c>
      <c r="K480" t="str">
        <f>IF(Student_Data[[#This Row],[Marks]]&gt;=35,"Pass","Fail")</f>
        <v>Pass</v>
      </c>
    </row>
    <row r="481" spans="1:11" x14ac:dyDescent="0.3">
      <c r="A481" t="s">
        <v>602</v>
      </c>
      <c r="B481" t="s">
        <v>147</v>
      </c>
      <c r="C481" t="s">
        <v>25</v>
      </c>
      <c r="D481">
        <v>8</v>
      </c>
      <c r="E481" t="s">
        <v>12</v>
      </c>
      <c r="F481" t="s">
        <v>43</v>
      </c>
      <c r="G481">
        <v>83</v>
      </c>
      <c r="H481">
        <v>72</v>
      </c>
      <c r="I481" t="s">
        <v>35</v>
      </c>
      <c r="J481" t="str">
        <f>IF(Student_Data[[#This Row],[Marks]] &gt;= 90,"A+",IF(Student_Data[[#This Row],[Marks]]&gt;=80,"A",IF(Student_Data[[#This Row],[Marks]]&gt;=70,"B",IF(Student_Data[[#This Row],[Marks]]&gt;=60,"C","F"))))</f>
        <v>A</v>
      </c>
      <c r="K481" t="str">
        <f>IF(Student_Data[[#This Row],[Marks]]&gt;=35,"Pass","Fail")</f>
        <v>Pass</v>
      </c>
    </row>
    <row r="482" spans="1:11" x14ac:dyDescent="0.3">
      <c r="A482" t="s">
        <v>603</v>
      </c>
      <c r="B482" t="s">
        <v>285</v>
      </c>
      <c r="C482" t="s">
        <v>11</v>
      </c>
      <c r="D482">
        <v>10</v>
      </c>
      <c r="E482" t="s">
        <v>17</v>
      </c>
      <c r="F482" t="s">
        <v>34</v>
      </c>
      <c r="G482">
        <v>86</v>
      </c>
      <c r="H482">
        <v>68</v>
      </c>
      <c r="I482" t="s">
        <v>40</v>
      </c>
      <c r="J482" t="str">
        <f>IF(Student_Data[[#This Row],[Marks]] &gt;= 90,"A+",IF(Student_Data[[#This Row],[Marks]]&gt;=80,"A",IF(Student_Data[[#This Row],[Marks]]&gt;=70,"B",IF(Student_Data[[#This Row],[Marks]]&gt;=60,"C","F"))))</f>
        <v>A</v>
      </c>
      <c r="K482" t="str">
        <f>IF(Student_Data[[#This Row],[Marks]]&gt;=35,"Pass","Fail")</f>
        <v>Pass</v>
      </c>
    </row>
    <row r="483" spans="1:11" x14ac:dyDescent="0.3">
      <c r="A483" t="s">
        <v>604</v>
      </c>
      <c r="B483" t="s">
        <v>102</v>
      </c>
      <c r="C483" t="s">
        <v>25</v>
      </c>
      <c r="D483">
        <v>10</v>
      </c>
      <c r="E483" t="s">
        <v>33</v>
      </c>
      <c r="F483" t="s">
        <v>18</v>
      </c>
      <c r="G483">
        <v>90</v>
      </c>
      <c r="H483">
        <v>87</v>
      </c>
      <c r="I483" t="s">
        <v>35</v>
      </c>
      <c r="J483" t="str">
        <f>IF(Student_Data[[#This Row],[Marks]] &gt;= 90,"A+",IF(Student_Data[[#This Row],[Marks]]&gt;=80,"A",IF(Student_Data[[#This Row],[Marks]]&gt;=70,"B",IF(Student_Data[[#This Row],[Marks]]&gt;=60,"C","F"))))</f>
        <v>A+</v>
      </c>
      <c r="K483" t="str">
        <f>IF(Student_Data[[#This Row],[Marks]]&gt;=35,"Pass","Fail")</f>
        <v>Pass</v>
      </c>
    </row>
    <row r="484" spans="1:11" x14ac:dyDescent="0.3">
      <c r="A484" t="s">
        <v>605</v>
      </c>
      <c r="B484" t="s">
        <v>198</v>
      </c>
      <c r="C484" t="s">
        <v>11</v>
      </c>
      <c r="D484">
        <v>9</v>
      </c>
      <c r="E484" t="s">
        <v>17</v>
      </c>
      <c r="F484" t="s">
        <v>22</v>
      </c>
      <c r="G484">
        <v>78</v>
      </c>
      <c r="H484">
        <v>78</v>
      </c>
      <c r="I484" t="s">
        <v>40</v>
      </c>
      <c r="J484" t="str">
        <f>IF(Student_Data[[#This Row],[Marks]] &gt;= 90,"A+",IF(Student_Data[[#This Row],[Marks]]&gt;=80,"A",IF(Student_Data[[#This Row],[Marks]]&gt;=70,"B",IF(Student_Data[[#This Row],[Marks]]&gt;=60,"C","F"))))</f>
        <v>B</v>
      </c>
      <c r="K484" t="str">
        <f>IF(Student_Data[[#This Row],[Marks]]&gt;=35,"Pass","Fail")</f>
        <v>Pass</v>
      </c>
    </row>
    <row r="485" spans="1:11" x14ac:dyDescent="0.3">
      <c r="A485" t="s">
        <v>606</v>
      </c>
      <c r="B485" t="s">
        <v>21</v>
      </c>
      <c r="C485" t="s">
        <v>25</v>
      </c>
      <c r="D485">
        <v>9</v>
      </c>
      <c r="E485" t="s">
        <v>17</v>
      </c>
      <c r="F485" t="s">
        <v>34</v>
      </c>
      <c r="G485">
        <v>40</v>
      </c>
      <c r="H485">
        <v>61</v>
      </c>
      <c r="I485" t="s">
        <v>46</v>
      </c>
      <c r="J485" t="str">
        <f>IF(Student_Data[[#This Row],[Marks]] &gt;= 90,"A+",IF(Student_Data[[#This Row],[Marks]]&gt;=80,"A",IF(Student_Data[[#This Row],[Marks]]&gt;=70,"B",IF(Student_Data[[#This Row],[Marks]]&gt;=60,"C","F"))))</f>
        <v>F</v>
      </c>
      <c r="K485" t="str">
        <f>IF(Student_Data[[#This Row],[Marks]]&gt;=35,"Pass","Fail")</f>
        <v>Pass</v>
      </c>
    </row>
    <row r="486" spans="1:11" x14ac:dyDescent="0.3">
      <c r="A486" t="s">
        <v>607</v>
      </c>
      <c r="B486" t="s">
        <v>126</v>
      </c>
      <c r="C486" t="s">
        <v>25</v>
      </c>
      <c r="D486">
        <v>7</v>
      </c>
      <c r="E486" t="s">
        <v>33</v>
      </c>
      <c r="F486" t="s">
        <v>26</v>
      </c>
      <c r="G486">
        <v>89</v>
      </c>
      <c r="H486">
        <v>95</v>
      </c>
      <c r="I486" t="s">
        <v>35</v>
      </c>
      <c r="J486" t="str">
        <f>IF(Student_Data[[#This Row],[Marks]] &gt;= 90,"A+",IF(Student_Data[[#This Row],[Marks]]&gt;=80,"A",IF(Student_Data[[#This Row],[Marks]]&gt;=70,"B",IF(Student_Data[[#This Row],[Marks]]&gt;=60,"C","F"))))</f>
        <v>A</v>
      </c>
      <c r="K486" t="str">
        <f>IF(Student_Data[[#This Row],[Marks]]&gt;=35,"Pass","Fail")</f>
        <v>Pass</v>
      </c>
    </row>
    <row r="487" spans="1:11" x14ac:dyDescent="0.3">
      <c r="A487" t="s">
        <v>608</v>
      </c>
      <c r="B487" t="s">
        <v>72</v>
      </c>
      <c r="C487" t="s">
        <v>11</v>
      </c>
      <c r="D487">
        <v>9</v>
      </c>
      <c r="E487" t="s">
        <v>17</v>
      </c>
      <c r="F487" t="s">
        <v>26</v>
      </c>
      <c r="G487">
        <v>89</v>
      </c>
      <c r="H487">
        <v>83</v>
      </c>
      <c r="I487" t="s">
        <v>46</v>
      </c>
      <c r="J487" t="str">
        <f>IF(Student_Data[[#This Row],[Marks]] &gt;= 90,"A+",IF(Student_Data[[#This Row],[Marks]]&gt;=80,"A",IF(Student_Data[[#This Row],[Marks]]&gt;=70,"B",IF(Student_Data[[#This Row],[Marks]]&gt;=60,"C","F"))))</f>
        <v>A</v>
      </c>
      <c r="K487" t="str">
        <f>IF(Student_Data[[#This Row],[Marks]]&gt;=35,"Pass","Fail")</f>
        <v>Pass</v>
      </c>
    </row>
    <row r="488" spans="1:11" x14ac:dyDescent="0.3">
      <c r="A488" t="s">
        <v>609</v>
      </c>
      <c r="B488" t="s">
        <v>198</v>
      </c>
      <c r="C488" t="s">
        <v>11</v>
      </c>
      <c r="D488">
        <v>11</v>
      </c>
      <c r="E488" t="s">
        <v>12</v>
      </c>
      <c r="F488" t="s">
        <v>18</v>
      </c>
      <c r="G488">
        <v>60</v>
      </c>
      <c r="H488">
        <v>83</v>
      </c>
      <c r="I488" t="s">
        <v>49</v>
      </c>
      <c r="J488" t="str">
        <f>IF(Student_Data[[#This Row],[Marks]] &gt;= 90,"A+",IF(Student_Data[[#This Row],[Marks]]&gt;=80,"A",IF(Student_Data[[#This Row],[Marks]]&gt;=70,"B",IF(Student_Data[[#This Row],[Marks]]&gt;=60,"C","F"))))</f>
        <v>C</v>
      </c>
      <c r="K488" t="str">
        <f>IF(Student_Data[[#This Row],[Marks]]&gt;=35,"Pass","Fail")</f>
        <v>Pass</v>
      </c>
    </row>
    <row r="489" spans="1:11" x14ac:dyDescent="0.3">
      <c r="A489" t="s">
        <v>610</v>
      </c>
      <c r="B489" t="s">
        <v>164</v>
      </c>
      <c r="C489" t="s">
        <v>11</v>
      </c>
      <c r="D489">
        <v>6</v>
      </c>
      <c r="E489" t="s">
        <v>12</v>
      </c>
      <c r="F489" t="s">
        <v>22</v>
      </c>
      <c r="G489">
        <v>47</v>
      </c>
      <c r="H489">
        <v>71</v>
      </c>
      <c r="I489" t="s">
        <v>40</v>
      </c>
      <c r="J489" t="str">
        <f>IF(Student_Data[[#This Row],[Marks]] &gt;= 90,"A+",IF(Student_Data[[#This Row],[Marks]]&gt;=80,"A",IF(Student_Data[[#This Row],[Marks]]&gt;=70,"B",IF(Student_Data[[#This Row],[Marks]]&gt;=60,"C","F"))))</f>
        <v>F</v>
      </c>
      <c r="K489" t="str">
        <f>IF(Student_Data[[#This Row],[Marks]]&gt;=35,"Pass","Fail")</f>
        <v>Pass</v>
      </c>
    </row>
    <row r="490" spans="1:11" x14ac:dyDescent="0.3">
      <c r="A490" t="s">
        <v>611</v>
      </c>
      <c r="B490" t="s">
        <v>100</v>
      </c>
      <c r="C490" t="s">
        <v>11</v>
      </c>
      <c r="D490">
        <v>6</v>
      </c>
      <c r="E490" t="s">
        <v>17</v>
      </c>
      <c r="F490" t="s">
        <v>43</v>
      </c>
      <c r="G490">
        <v>87</v>
      </c>
      <c r="H490">
        <v>92</v>
      </c>
      <c r="I490" t="s">
        <v>46</v>
      </c>
      <c r="J490" t="str">
        <f>IF(Student_Data[[#This Row],[Marks]] &gt;= 90,"A+",IF(Student_Data[[#This Row],[Marks]]&gt;=80,"A",IF(Student_Data[[#This Row],[Marks]]&gt;=70,"B",IF(Student_Data[[#This Row],[Marks]]&gt;=60,"C","F"))))</f>
        <v>A</v>
      </c>
      <c r="K490" t="str">
        <f>IF(Student_Data[[#This Row],[Marks]]&gt;=35,"Pass","Fail")</f>
        <v>Pass</v>
      </c>
    </row>
    <row r="491" spans="1:11" x14ac:dyDescent="0.3">
      <c r="A491" t="s">
        <v>612</v>
      </c>
      <c r="B491" t="s">
        <v>204</v>
      </c>
      <c r="C491" t="s">
        <v>25</v>
      </c>
      <c r="D491">
        <v>6</v>
      </c>
      <c r="E491" t="s">
        <v>12</v>
      </c>
      <c r="F491" t="s">
        <v>26</v>
      </c>
      <c r="G491">
        <v>95</v>
      </c>
      <c r="H491">
        <v>97</v>
      </c>
      <c r="I491" t="s">
        <v>14</v>
      </c>
      <c r="J491" t="str">
        <f>IF(Student_Data[[#This Row],[Marks]] &gt;= 90,"A+",IF(Student_Data[[#This Row],[Marks]]&gt;=80,"A",IF(Student_Data[[#This Row],[Marks]]&gt;=70,"B",IF(Student_Data[[#This Row],[Marks]]&gt;=60,"C","F"))))</f>
        <v>A+</v>
      </c>
      <c r="K491" t="str">
        <f>IF(Student_Data[[#This Row],[Marks]]&gt;=35,"Pass","Fail")</f>
        <v>Pass</v>
      </c>
    </row>
    <row r="492" spans="1:11" x14ac:dyDescent="0.3">
      <c r="A492" t="s">
        <v>613</v>
      </c>
      <c r="B492" t="s">
        <v>30</v>
      </c>
      <c r="C492" t="s">
        <v>25</v>
      </c>
      <c r="D492">
        <v>10</v>
      </c>
      <c r="E492" t="s">
        <v>33</v>
      </c>
      <c r="F492" t="s">
        <v>13</v>
      </c>
      <c r="G492">
        <v>69</v>
      </c>
      <c r="H492">
        <v>76</v>
      </c>
      <c r="I492" t="s">
        <v>14</v>
      </c>
      <c r="J492" t="str">
        <f>IF(Student_Data[[#This Row],[Marks]] &gt;= 90,"A+",IF(Student_Data[[#This Row],[Marks]]&gt;=80,"A",IF(Student_Data[[#This Row],[Marks]]&gt;=70,"B",IF(Student_Data[[#This Row],[Marks]]&gt;=60,"C","F"))))</f>
        <v>C</v>
      </c>
      <c r="K492" t="str">
        <f>IF(Student_Data[[#This Row],[Marks]]&gt;=35,"Pass","Fail")</f>
        <v>Pass</v>
      </c>
    </row>
    <row r="493" spans="1:11" x14ac:dyDescent="0.3">
      <c r="A493" t="s">
        <v>614</v>
      </c>
      <c r="B493" t="s">
        <v>236</v>
      </c>
      <c r="C493" t="s">
        <v>11</v>
      </c>
      <c r="D493">
        <v>8</v>
      </c>
      <c r="E493" t="s">
        <v>33</v>
      </c>
      <c r="F493" t="s">
        <v>18</v>
      </c>
      <c r="G493">
        <v>90</v>
      </c>
      <c r="H493">
        <v>75</v>
      </c>
      <c r="I493" t="s">
        <v>31</v>
      </c>
      <c r="J493" t="str">
        <f>IF(Student_Data[[#This Row],[Marks]] &gt;= 90,"A+",IF(Student_Data[[#This Row],[Marks]]&gt;=80,"A",IF(Student_Data[[#This Row],[Marks]]&gt;=70,"B",IF(Student_Data[[#This Row],[Marks]]&gt;=60,"C","F"))))</f>
        <v>A+</v>
      </c>
      <c r="K493" t="str">
        <f>IF(Student_Data[[#This Row],[Marks]]&gt;=35,"Pass","Fail")</f>
        <v>Pass</v>
      </c>
    </row>
    <row r="494" spans="1:11" x14ac:dyDescent="0.3">
      <c r="A494" t="s">
        <v>615</v>
      </c>
      <c r="B494" t="s">
        <v>211</v>
      </c>
      <c r="C494" t="s">
        <v>25</v>
      </c>
      <c r="D494">
        <v>12</v>
      </c>
      <c r="E494" t="s">
        <v>12</v>
      </c>
      <c r="F494" t="s">
        <v>13</v>
      </c>
      <c r="G494">
        <v>81</v>
      </c>
      <c r="H494">
        <v>69</v>
      </c>
      <c r="I494" t="s">
        <v>14</v>
      </c>
      <c r="J494" t="str">
        <f>IF(Student_Data[[#This Row],[Marks]] &gt;= 90,"A+",IF(Student_Data[[#This Row],[Marks]]&gt;=80,"A",IF(Student_Data[[#This Row],[Marks]]&gt;=70,"B",IF(Student_Data[[#This Row],[Marks]]&gt;=60,"C","F"))))</f>
        <v>A</v>
      </c>
      <c r="K494" t="str">
        <f>IF(Student_Data[[#This Row],[Marks]]&gt;=35,"Pass","Fail")</f>
        <v>Pass</v>
      </c>
    </row>
    <row r="495" spans="1:11" x14ac:dyDescent="0.3">
      <c r="A495" t="s">
        <v>616</v>
      </c>
      <c r="B495" t="s">
        <v>221</v>
      </c>
      <c r="C495" t="s">
        <v>25</v>
      </c>
      <c r="D495">
        <v>11</v>
      </c>
      <c r="E495" t="s">
        <v>33</v>
      </c>
      <c r="F495" t="s">
        <v>26</v>
      </c>
      <c r="G495">
        <v>43</v>
      </c>
      <c r="H495">
        <v>61</v>
      </c>
      <c r="I495" t="s">
        <v>40</v>
      </c>
      <c r="J495" t="str">
        <f>IF(Student_Data[[#This Row],[Marks]] &gt;= 90,"A+",IF(Student_Data[[#This Row],[Marks]]&gt;=80,"A",IF(Student_Data[[#This Row],[Marks]]&gt;=70,"B",IF(Student_Data[[#This Row],[Marks]]&gt;=60,"C","F"))))</f>
        <v>F</v>
      </c>
      <c r="K495" t="str">
        <f>IF(Student_Data[[#This Row],[Marks]]&gt;=35,"Pass","Fail")</f>
        <v>Pass</v>
      </c>
    </row>
    <row r="496" spans="1:11" x14ac:dyDescent="0.3">
      <c r="A496" t="s">
        <v>617</v>
      </c>
      <c r="B496" t="s">
        <v>168</v>
      </c>
      <c r="C496" t="s">
        <v>25</v>
      </c>
      <c r="D496">
        <v>7</v>
      </c>
      <c r="E496" t="s">
        <v>17</v>
      </c>
      <c r="F496" t="s">
        <v>26</v>
      </c>
      <c r="G496">
        <v>80</v>
      </c>
      <c r="H496">
        <v>79</v>
      </c>
      <c r="I496" t="s">
        <v>19</v>
      </c>
      <c r="J496" t="str">
        <f>IF(Student_Data[[#This Row],[Marks]] &gt;= 90,"A+",IF(Student_Data[[#This Row],[Marks]]&gt;=80,"A",IF(Student_Data[[#This Row],[Marks]]&gt;=70,"B",IF(Student_Data[[#This Row],[Marks]]&gt;=60,"C","F"))))</f>
        <v>A</v>
      </c>
      <c r="K496" t="str">
        <f>IF(Student_Data[[#This Row],[Marks]]&gt;=35,"Pass","Fail")</f>
        <v>Pass</v>
      </c>
    </row>
    <row r="497" spans="1:11" x14ac:dyDescent="0.3">
      <c r="A497" t="s">
        <v>618</v>
      </c>
      <c r="B497" t="s">
        <v>70</v>
      </c>
      <c r="C497" t="s">
        <v>11</v>
      </c>
      <c r="D497">
        <v>7</v>
      </c>
      <c r="E497" t="s">
        <v>17</v>
      </c>
      <c r="F497" t="s">
        <v>43</v>
      </c>
      <c r="G497">
        <v>85</v>
      </c>
      <c r="H497">
        <v>86</v>
      </c>
      <c r="I497" t="s">
        <v>19</v>
      </c>
      <c r="J497" t="str">
        <f>IF(Student_Data[[#This Row],[Marks]] &gt;= 90,"A+",IF(Student_Data[[#This Row],[Marks]]&gt;=80,"A",IF(Student_Data[[#This Row],[Marks]]&gt;=70,"B",IF(Student_Data[[#This Row],[Marks]]&gt;=60,"C","F"))))</f>
        <v>A</v>
      </c>
      <c r="K497" t="str">
        <f>IF(Student_Data[[#This Row],[Marks]]&gt;=35,"Pass","Fail")</f>
        <v>Pass</v>
      </c>
    </row>
    <row r="498" spans="1:11" x14ac:dyDescent="0.3">
      <c r="A498" t="s">
        <v>619</v>
      </c>
      <c r="B498" t="s">
        <v>102</v>
      </c>
      <c r="C498" t="s">
        <v>25</v>
      </c>
      <c r="D498">
        <v>7</v>
      </c>
      <c r="E498" t="s">
        <v>33</v>
      </c>
      <c r="F498" t="s">
        <v>22</v>
      </c>
      <c r="G498">
        <v>73</v>
      </c>
      <c r="H498">
        <v>75</v>
      </c>
      <c r="I498" t="s">
        <v>31</v>
      </c>
      <c r="J498" t="str">
        <f>IF(Student_Data[[#This Row],[Marks]] &gt;= 90,"A+",IF(Student_Data[[#This Row],[Marks]]&gt;=80,"A",IF(Student_Data[[#This Row],[Marks]]&gt;=70,"B",IF(Student_Data[[#This Row],[Marks]]&gt;=60,"C","F"))))</f>
        <v>B</v>
      </c>
      <c r="K498" t="str">
        <f>IF(Student_Data[[#This Row],[Marks]]&gt;=35,"Pass","Fail")</f>
        <v>Pass</v>
      </c>
    </row>
    <row r="499" spans="1:11" x14ac:dyDescent="0.3">
      <c r="A499" t="s">
        <v>620</v>
      </c>
      <c r="B499" t="s">
        <v>112</v>
      </c>
      <c r="C499" t="s">
        <v>25</v>
      </c>
      <c r="D499">
        <v>10</v>
      </c>
      <c r="E499" t="s">
        <v>33</v>
      </c>
      <c r="F499" t="s">
        <v>18</v>
      </c>
      <c r="G499">
        <v>98</v>
      </c>
      <c r="H499">
        <v>97</v>
      </c>
      <c r="I499" t="s">
        <v>46</v>
      </c>
      <c r="J499" t="str">
        <f>IF(Student_Data[[#This Row],[Marks]] &gt;= 90,"A+",IF(Student_Data[[#This Row],[Marks]]&gt;=80,"A",IF(Student_Data[[#This Row],[Marks]]&gt;=70,"B",IF(Student_Data[[#This Row],[Marks]]&gt;=60,"C","F"))))</f>
        <v>A+</v>
      </c>
      <c r="K499" t="str">
        <f>IF(Student_Data[[#This Row],[Marks]]&gt;=35,"Pass","Fail")</f>
        <v>Pass</v>
      </c>
    </row>
    <row r="500" spans="1:11" x14ac:dyDescent="0.3">
      <c r="A500" t="s">
        <v>621</v>
      </c>
      <c r="B500" t="s">
        <v>200</v>
      </c>
      <c r="C500" t="s">
        <v>25</v>
      </c>
      <c r="D500">
        <v>12</v>
      </c>
      <c r="E500" t="s">
        <v>17</v>
      </c>
      <c r="F500" t="s">
        <v>43</v>
      </c>
      <c r="G500">
        <v>57</v>
      </c>
      <c r="H500">
        <v>75</v>
      </c>
      <c r="I500" t="s">
        <v>49</v>
      </c>
      <c r="J500" t="str">
        <f>IF(Student_Data[[#This Row],[Marks]] &gt;= 90,"A+",IF(Student_Data[[#This Row],[Marks]]&gt;=80,"A",IF(Student_Data[[#This Row],[Marks]]&gt;=70,"B",IF(Student_Data[[#This Row],[Marks]]&gt;=60,"C","F"))))</f>
        <v>F</v>
      </c>
      <c r="K500" t="str">
        <f>IF(Student_Data[[#This Row],[Marks]]&gt;=35,"Pass","Fail")</f>
        <v>Pass</v>
      </c>
    </row>
    <row r="501" spans="1:11" x14ac:dyDescent="0.3">
      <c r="A501" t="s">
        <v>622</v>
      </c>
      <c r="B501" t="s">
        <v>72</v>
      </c>
      <c r="C501" t="s">
        <v>11</v>
      </c>
      <c r="D501">
        <v>11</v>
      </c>
      <c r="E501" t="s">
        <v>12</v>
      </c>
      <c r="F501" t="s">
        <v>22</v>
      </c>
      <c r="G501">
        <v>84</v>
      </c>
      <c r="H501">
        <v>61</v>
      </c>
      <c r="I501" t="s">
        <v>40</v>
      </c>
      <c r="J501" t="str">
        <f>IF(Student_Data[[#This Row],[Marks]] &gt;= 90,"A+",IF(Student_Data[[#This Row],[Marks]]&gt;=80,"A",IF(Student_Data[[#This Row],[Marks]]&gt;=70,"B",IF(Student_Data[[#This Row],[Marks]]&gt;=60,"C","F"))))</f>
        <v>A</v>
      </c>
      <c r="K501" t="str">
        <f>IF(Student_Data[[#This Row],[Marks]]&gt;=35,"Pass","Fail")</f>
        <v>Pass</v>
      </c>
    </row>
    <row r="502" spans="1:11" x14ac:dyDescent="0.3">
      <c r="A502" t="s">
        <v>623</v>
      </c>
      <c r="B502" t="s">
        <v>221</v>
      </c>
      <c r="C502" t="s">
        <v>11</v>
      </c>
      <c r="D502">
        <v>8</v>
      </c>
      <c r="E502" t="s">
        <v>17</v>
      </c>
      <c r="F502" t="s">
        <v>26</v>
      </c>
      <c r="G502">
        <v>42</v>
      </c>
      <c r="H502">
        <v>95</v>
      </c>
      <c r="I502" t="s">
        <v>46</v>
      </c>
      <c r="J502" t="str">
        <f>IF(Student_Data[[#This Row],[Marks]] &gt;= 90,"A+",IF(Student_Data[[#This Row],[Marks]]&gt;=80,"A",IF(Student_Data[[#This Row],[Marks]]&gt;=70,"B",IF(Student_Data[[#This Row],[Marks]]&gt;=60,"C","F"))))</f>
        <v>F</v>
      </c>
      <c r="K502" t="str">
        <f>IF(Student_Data[[#This Row],[Marks]]&gt;=35,"Pass","Fail")</f>
        <v>Pass</v>
      </c>
    </row>
    <row r="503" spans="1:11" x14ac:dyDescent="0.3">
      <c r="A503" t="s">
        <v>624</v>
      </c>
      <c r="B503" t="s">
        <v>45</v>
      </c>
      <c r="C503" t="s">
        <v>11</v>
      </c>
      <c r="D503">
        <v>7</v>
      </c>
      <c r="E503" t="s">
        <v>17</v>
      </c>
      <c r="F503" t="s">
        <v>43</v>
      </c>
      <c r="G503">
        <v>67</v>
      </c>
      <c r="H503">
        <v>73</v>
      </c>
      <c r="I503" t="s">
        <v>40</v>
      </c>
      <c r="J503" t="str">
        <f>IF(Student_Data[[#This Row],[Marks]] &gt;= 90,"A+",IF(Student_Data[[#This Row],[Marks]]&gt;=80,"A",IF(Student_Data[[#This Row],[Marks]]&gt;=70,"B",IF(Student_Data[[#This Row],[Marks]]&gt;=60,"C","F"))))</f>
        <v>C</v>
      </c>
      <c r="K503" t="str">
        <f>IF(Student_Data[[#This Row],[Marks]]&gt;=35,"Pass","Fail")</f>
        <v>Pass</v>
      </c>
    </row>
    <row r="504" spans="1:11" x14ac:dyDescent="0.3">
      <c r="A504" t="s">
        <v>625</v>
      </c>
      <c r="B504" t="s">
        <v>230</v>
      </c>
      <c r="C504" t="s">
        <v>25</v>
      </c>
      <c r="D504">
        <v>8</v>
      </c>
      <c r="E504" t="s">
        <v>17</v>
      </c>
      <c r="F504" t="s">
        <v>43</v>
      </c>
      <c r="G504">
        <v>55</v>
      </c>
      <c r="H504">
        <v>96</v>
      </c>
      <c r="I504" t="s">
        <v>19</v>
      </c>
      <c r="J504" t="str">
        <f>IF(Student_Data[[#This Row],[Marks]] &gt;= 90,"A+",IF(Student_Data[[#This Row],[Marks]]&gt;=80,"A",IF(Student_Data[[#This Row],[Marks]]&gt;=70,"B",IF(Student_Data[[#This Row],[Marks]]&gt;=60,"C","F"))))</f>
        <v>F</v>
      </c>
      <c r="K504" t="str">
        <f>IF(Student_Data[[#This Row],[Marks]]&gt;=35,"Pass","Fail")</f>
        <v>Pass</v>
      </c>
    </row>
    <row r="505" spans="1:11" x14ac:dyDescent="0.3">
      <c r="A505" t="s">
        <v>626</v>
      </c>
      <c r="B505" t="s">
        <v>226</v>
      </c>
      <c r="C505" t="s">
        <v>11</v>
      </c>
      <c r="D505">
        <v>9</v>
      </c>
      <c r="E505" t="s">
        <v>33</v>
      </c>
      <c r="F505" t="s">
        <v>43</v>
      </c>
      <c r="G505">
        <v>90</v>
      </c>
      <c r="H505">
        <v>88</v>
      </c>
      <c r="I505" t="s">
        <v>14</v>
      </c>
      <c r="J505" t="str">
        <f>IF(Student_Data[[#This Row],[Marks]] &gt;= 90,"A+",IF(Student_Data[[#This Row],[Marks]]&gt;=80,"A",IF(Student_Data[[#This Row],[Marks]]&gt;=70,"B",IF(Student_Data[[#This Row],[Marks]]&gt;=60,"C","F"))))</f>
        <v>A+</v>
      </c>
      <c r="K505" t="str">
        <f>IF(Student_Data[[#This Row],[Marks]]&gt;=35,"Pass","Fail")</f>
        <v>Pass</v>
      </c>
    </row>
    <row r="506" spans="1:11" x14ac:dyDescent="0.3">
      <c r="A506" t="s">
        <v>627</v>
      </c>
      <c r="B506" t="s">
        <v>55</v>
      </c>
      <c r="C506" t="s">
        <v>25</v>
      </c>
      <c r="D506">
        <v>12</v>
      </c>
      <c r="E506" t="s">
        <v>12</v>
      </c>
      <c r="F506" t="s">
        <v>26</v>
      </c>
      <c r="G506">
        <v>79</v>
      </c>
      <c r="H506">
        <v>74</v>
      </c>
      <c r="I506" t="s">
        <v>19</v>
      </c>
      <c r="J506" t="str">
        <f>IF(Student_Data[[#This Row],[Marks]] &gt;= 90,"A+",IF(Student_Data[[#This Row],[Marks]]&gt;=80,"A",IF(Student_Data[[#This Row],[Marks]]&gt;=70,"B",IF(Student_Data[[#This Row],[Marks]]&gt;=60,"C","F"))))</f>
        <v>B</v>
      </c>
      <c r="K506" t="str">
        <f>IF(Student_Data[[#This Row],[Marks]]&gt;=35,"Pass","Fail")</f>
        <v>Pass</v>
      </c>
    </row>
    <row r="507" spans="1:11" x14ac:dyDescent="0.3">
      <c r="A507" t="s">
        <v>628</v>
      </c>
      <c r="B507" t="s">
        <v>383</v>
      </c>
      <c r="C507" t="s">
        <v>25</v>
      </c>
      <c r="D507">
        <v>6</v>
      </c>
      <c r="E507" t="s">
        <v>12</v>
      </c>
      <c r="F507" t="s">
        <v>13</v>
      </c>
      <c r="G507">
        <v>97</v>
      </c>
      <c r="H507">
        <v>90</v>
      </c>
      <c r="I507" t="s">
        <v>19</v>
      </c>
      <c r="J507" t="str">
        <f>IF(Student_Data[[#This Row],[Marks]] &gt;= 90,"A+",IF(Student_Data[[#This Row],[Marks]]&gt;=80,"A",IF(Student_Data[[#This Row],[Marks]]&gt;=70,"B",IF(Student_Data[[#This Row],[Marks]]&gt;=60,"C","F"))))</f>
        <v>A+</v>
      </c>
      <c r="K507" t="str">
        <f>IF(Student_Data[[#This Row],[Marks]]&gt;=35,"Pass","Fail")</f>
        <v>Pass</v>
      </c>
    </row>
    <row r="508" spans="1:11" x14ac:dyDescent="0.3">
      <c r="A508" t="s">
        <v>629</v>
      </c>
      <c r="B508" t="s">
        <v>173</v>
      </c>
      <c r="C508" t="s">
        <v>11</v>
      </c>
      <c r="D508">
        <v>11</v>
      </c>
      <c r="E508" t="s">
        <v>33</v>
      </c>
      <c r="F508" t="s">
        <v>26</v>
      </c>
      <c r="G508">
        <v>81</v>
      </c>
      <c r="H508">
        <v>68</v>
      </c>
      <c r="I508" t="s">
        <v>49</v>
      </c>
      <c r="J508" t="str">
        <f>IF(Student_Data[[#This Row],[Marks]] &gt;= 90,"A+",IF(Student_Data[[#This Row],[Marks]]&gt;=80,"A",IF(Student_Data[[#This Row],[Marks]]&gt;=70,"B",IF(Student_Data[[#This Row],[Marks]]&gt;=60,"C","F"))))</f>
        <v>A</v>
      </c>
      <c r="K508" t="str">
        <f>IF(Student_Data[[#This Row],[Marks]]&gt;=35,"Pass","Fail")</f>
        <v>Pass</v>
      </c>
    </row>
    <row r="509" spans="1:11" x14ac:dyDescent="0.3">
      <c r="A509" t="s">
        <v>630</v>
      </c>
      <c r="B509" t="s">
        <v>123</v>
      </c>
      <c r="C509" t="s">
        <v>11</v>
      </c>
      <c r="D509">
        <v>9</v>
      </c>
      <c r="E509" t="s">
        <v>17</v>
      </c>
      <c r="F509" t="s">
        <v>43</v>
      </c>
      <c r="G509">
        <v>49</v>
      </c>
      <c r="H509">
        <v>93</v>
      </c>
      <c r="I509" t="s">
        <v>19</v>
      </c>
      <c r="J509" t="str">
        <f>IF(Student_Data[[#This Row],[Marks]] &gt;= 90,"A+",IF(Student_Data[[#This Row],[Marks]]&gt;=80,"A",IF(Student_Data[[#This Row],[Marks]]&gt;=70,"B",IF(Student_Data[[#This Row],[Marks]]&gt;=60,"C","F"))))</f>
        <v>F</v>
      </c>
      <c r="K509" t="str">
        <f>IF(Student_Data[[#This Row],[Marks]]&gt;=35,"Pass","Fail")</f>
        <v>Pass</v>
      </c>
    </row>
    <row r="510" spans="1:11" x14ac:dyDescent="0.3">
      <c r="A510" t="s">
        <v>631</v>
      </c>
      <c r="B510" t="s">
        <v>228</v>
      </c>
      <c r="C510" t="s">
        <v>11</v>
      </c>
      <c r="D510">
        <v>12</v>
      </c>
      <c r="E510" t="s">
        <v>17</v>
      </c>
      <c r="F510" t="s">
        <v>34</v>
      </c>
      <c r="G510">
        <v>67</v>
      </c>
      <c r="H510">
        <v>77</v>
      </c>
      <c r="I510" t="s">
        <v>46</v>
      </c>
      <c r="J510" t="str">
        <f>IF(Student_Data[[#This Row],[Marks]] &gt;= 90,"A+",IF(Student_Data[[#This Row],[Marks]]&gt;=80,"A",IF(Student_Data[[#This Row],[Marks]]&gt;=70,"B",IF(Student_Data[[#This Row],[Marks]]&gt;=60,"C","F"))))</f>
        <v>C</v>
      </c>
      <c r="K510" t="str">
        <f>IF(Student_Data[[#This Row],[Marks]]&gt;=35,"Pass","Fail")</f>
        <v>Pass</v>
      </c>
    </row>
    <row r="511" spans="1:11" x14ac:dyDescent="0.3">
      <c r="A511" t="s">
        <v>632</v>
      </c>
      <c r="B511" t="s">
        <v>164</v>
      </c>
      <c r="C511" t="s">
        <v>11</v>
      </c>
      <c r="D511">
        <v>8</v>
      </c>
      <c r="E511" t="s">
        <v>17</v>
      </c>
      <c r="F511" t="s">
        <v>43</v>
      </c>
      <c r="G511">
        <v>61</v>
      </c>
      <c r="H511">
        <v>84</v>
      </c>
      <c r="I511" t="s">
        <v>46</v>
      </c>
      <c r="J511" t="str">
        <f>IF(Student_Data[[#This Row],[Marks]] &gt;= 90,"A+",IF(Student_Data[[#This Row],[Marks]]&gt;=80,"A",IF(Student_Data[[#This Row],[Marks]]&gt;=70,"B",IF(Student_Data[[#This Row],[Marks]]&gt;=60,"C","F"))))</f>
        <v>C</v>
      </c>
      <c r="K511" t="str">
        <f>IF(Student_Data[[#This Row],[Marks]]&gt;=35,"Pass","Fail")</f>
        <v>Pass</v>
      </c>
    </row>
    <row r="512" spans="1:11" x14ac:dyDescent="0.3">
      <c r="A512" t="s">
        <v>633</v>
      </c>
      <c r="B512" t="s">
        <v>116</v>
      </c>
      <c r="C512" t="s">
        <v>11</v>
      </c>
      <c r="D512">
        <v>7</v>
      </c>
      <c r="E512" t="s">
        <v>12</v>
      </c>
      <c r="F512" t="s">
        <v>13</v>
      </c>
      <c r="G512">
        <v>62</v>
      </c>
      <c r="H512">
        <v>100</v>
      </c>
      <c r="I512" t="s">
        <v>40</v>
      </c>
      <c r="J512" t="str">
        <f>IF(Student_Data[[#This Row],[Marks]] &gt;= 90,"A+",IF(Student_Data[[#This Row],[Marks]]&gt;=80,"A",IF(Student_Data[[#This Row],[Marks]]&gt;=70,"B",IF(Student_Data[[#This Row],[Marks]]&gt;=60,"C","F"))))</f>
        <v>C</v>
      </c>
      <c r="K512" t="str">
        <f>IF(Student_Data[[#This Row],[Marks]]&gt;=35,"Pass","Fail")</f>
        <v>Pass</v>
      </c>
    </row>
    <row r="513" spans="1:11" x14ac:dyDescent="0.3">
      <c r="A513" t="s">
        <v>634</v>
      </c>
      <c r="B513" t="s">
        <v>30</v>
      </c>
      <c r="C513" t="s">
        <v>25</v>
      </c>
      <c r="D513">
        <v>10</v>
      </c>
      <c r="E513" t="s">
        <v>33</v>
      </c>
      <c r="F513" t="s">
        <v>26</v>
      </c>
      <c r="G513">
        <v>78</v>
      </c>
      <c r="H513">
        <v>60</v>
      </c>
      <c r="I513" t="s">
        <v>31</v>
      </c>
      <c r="J513" t="str">
        <f>IF(Student_Data[[#This Row],[Marks]] &gt;= 90,"A+",IF(Student_Data[[#This Row],[Marks]]&gt;=80,"A",IF(Student_Data[[#This Row],[Marks]]&gt;=70,"B",IF(Student_Data[[#This Row],[Marks]]&gt;=60,"C","F"))))</f>
        <v>B</v>
      </c>
      <c r="K513" t="str">
        <f>IF(Student_Data[[#This Row],[Marks]]&gt;=35,"Pass","Fail")</f>
        <v>Pass</v>
      </c>
    </row>
    <row r="514" spans="1:11" x14ac:dyDescent="0.3">
      <c r="A514" t="s">
        <v>635</v>
      </c>
      <c r="B514" t="s">
        <v>24</v>
      </c>
      <c r="C514" t="s">
        <v>25</v>
      </c>
      <c r="D514">
        <v>6</v>
      </c>
      <c r="E514" t="s">
        <v>17</v>
      </c>
      <c r="F514" t="s">
        <v>26</v>
      </c>
      <c r="G514">
        <v>67</v>
      </c>
      <c r="H514">
        <v>75</v>
      </c>
      <c r="I514" t="s">
        <v>49</v>
      </c>
      <c r="J514" t="str">
        <f>IF(Student_Data[[#This Row],[Marks]] &gt;= 90,"A+",IF(Student_Data[[#This Row],[Marks]]&gt;=80,"A",IF(Student_Data[[#This Row],[Marks]]&gt;=70,"B",IF(Student_Data[[#This Row],[Marks]]&gt;=60,"C","F"))))</f>
        <v>C</v>
      </c>
      <c r="K514" t="str">
        <f>IF(Student_Data[[#This Row],[Marks]]&gt;=35,"Pass","Fail")</f>
        <v>Pass</v>
      </c>
    </row>
    <row r="515" spans="1:11" x14ac:dyDescent="0.3">
      <c r="A515" t="s">
        <v>636</v>
      </c>
      <c r="B515" t="s">
        <v>75</v>
      </c>
      <c r="C515" t="s">
        <v>25</v>
      </c>
      <c r="D515">
        <v>12</v>
      </c>
      <c r="E515" t="s">
        <v>12</v>
      </c>
      <c r="F515" t="s">
        <v>34</v>
      </c>
      <c r="G515">
        <v>72</v>
      </c>
      <c r="H515">
        <v>81</v>
      </c>
      <c r="I515" t="s">
        <v>19</v>
      </c>
      <c r="J515" t="str">
        <f>IF(Student_Data[[#This Row],[Marks]] &gt;= 90,"A+",IF(Student_Data[[#This Row],[Marks]]&gt;=80,"A",IF(Student_Data[[#This Row],[Marks]]&gt;=70,"B",IF(Student_Data[[#This Row],[Marks]]&gt;=60,"C","F"))))</f>
        <v>B</v>
      </c>
      <c r="K515" t="str">
        <f>IF(Student_Data[[#This Row],[Marks]]&gt;=35,"Pass","Fail")</f>
        <v>Pass</v>
      </c>
    </row>
    <row r="516" spans="1:11" x14ac:dyDescent="0.3">
      <c r="A516" t="s">
        <v>637</v>
      </c>
      <c r="B516" t="s">
        <v>48</v>
      </c>
      <c r="C516" t="s">
        <v>11</v>
      </c>
      <c r="D516">
        <v>6</v>
      </c>
      <c r="E516" t="s">
        <v>17</v>
      </c>
      <c r="F516" t="s">
        <v>22</v>
      </c>
      <c r="G516">
        <v>86</v>
      </c>
      <c r="H516">
        <v>81</v>
      </c>
      <c r="I516" t="s">
        <v>49</v>
      </c>
      <c r="J516" t="str">
        <f>IF(Student_Data[[#This Row],[Marks]] &gt;= 90,"A+",IF(Student_Data[[#This Row],[Marks]]&gt;=80,"A",IF(Student_Data[[#This Row],[Marks]]&gt;=70,"B",IF(Student_Data[[#This Row],[Marks]]&gt;=60,"C","F"))))</f>
        <v>A</v>
      </c>
      <c r="K516" t="str">
        <f>IF(Student_Data[[#This Row],[Marks]]&gt;=35,"Pass","Fail")</f>
        <v>Pass</v>
      </c>
    </row>
    <row r="517" spans="1:11" x14ac:dyDescent="0.3">
      <c r="A517" t="s">
        <v>638</v>
      </c>
      <c r="B517" t="s">
        <v>448</v>
      </c>
      <c r="C517" t="s">
        <v>11</v>
      </c>
      <c r="D517">
        <v>11</v>
      </c>
      <c r="E517" t="s">
        <v>33</v>
      </c>
      <c r="F517" t="s">
        <v>26</v>
      </c>
      <c r="G517">
        <v>93</v>
      </c>
      <c r="H517">
        <v>85</v>
      </c>
      <c r="I517" t="s">
        <v>46</v>
      </c>
      <c r="J517" t="str">
        <f>IF(Student_Data[[#This Row],[Marks]] &gt;= 90,"A+",IF(Student_Data[[#This Row],[Marks]]&gt;=80,"A",IF(Student_Data[[#This Row],[Marks]]&gt;=70,"B",IF(Student_Data[[#This Row],[Marks]]&gt;=60,"C","F"))))</f>
        <v>A+</v>
      </c>
      <c r="K517" t="str">
        <f>IF(Student_Data[[#This Row],[Marks]]&gt;=35,"Pass","Fail")</f>
        <v>Pass</v>
      </c>
    </row>
    <row r="518" spans="1:11" x14ac:dyDescent="0.3">
      <c r="A518" t="s">
        <v>639</v>
      </c>
      <c r="B518" t="s">
        <v>10</v>
      </c>
      <c r="C518" t="s">
        <v>25</v>
      </c>
      <c r="D518">
        <v>6</v>
      </c>
      <c r="E518" t="s">
        <v>12</v>
      </c>
      <c r="F518" t="s">
        <v>13</v>
      </c>
      <c r="G518">
        <v>43</v>
      </c>
      <c r="H518">
        <v>82</v>
      </c>
      <c r="I518" t="s">
        <v>46</v>
      </c>
      <c r="J518" t="str">
        <f>IF(Student_Data[[#This Row],[Marks]] &gt;= 90,"A+",IF(Student_Data[[#This Row],[Marks]]&gt;=80,"A",IF(Student_Data[[#This Row],[Marks]]&gt;=70,"B",IF(Student_Data[[#This Row],[Marks]]&gt;=60,"C","F"))))</f>
        <v>F</v>
      </c>
      <c r="K518" t="str">
        <f>IF(Student_Data[[#This Row],[Marks]]&gt;=35,"Pass","Fail")</f>
        <v>Pass</v>
      </c>
    </row>
    <row r="519" spans="1:11" x14ac:dyDescent="0.3">
      <c r="A519" t="s">
        <v>640</v>
      </c>
      <c r="B519" t="s">
        <v>401</v>
      </c>
      <c r="C519" t="s">
        <v>25</v>
      </c>
      <c r="D519">
        <v>11</v>
      </c>
      <c r="E519" t="s">
        <v>17</v>
      </c>
      <c r="F519" t="s">
        <v>22</v>
      </c>
      <c r="G519">
        <v>97</v>
      </c>
      <c r="H519">
        <v>67</v>
      </c>
      <c r="I519" t="s">
        <v>19</v>
      </c>
      <c r="J519" t="str">
        <f>IF(Student_Data[[#This Row],[Marks]] &gt;= 90,"A+",IF(Student_Data[[#This Row],[Marks]]&gt;=80,"A",IF(Student_Data[[#This Row],[Marks]]&gt;=70,"B",IF(Student_Data[[#This Row],[Marks]]&gt;=60,"C","F"))))</f>
        <v>A+</v>
      </c>
      <c r="K519" t="str">
        <f>IF(Student_Data[[#This Row],[Marks]]&gt;=35,"Pass","Fail")</f>
        <v>Pass</v>
      </c>
    </row>
    <row r="520" spans="1:11" x14ac:dyDescent="0.3">
      <c r="A520" t="s">
        <v>641</v>
      </c>
      <c r="B520" t="s">
        <v>42</v>
      </c>
      <c r="C520" t="s">
        <v>25</v>
      </c>
      <c r="D520">
        <v>9</v>
      </c>
      <c r="E520" t="s">
        <v>12</v>
      </c>
      <c r="F520" t="s">
        <v>26</v>
      </c>
      <c r="G520">
        <v>93</v>
      </c>
      <c r="H520">
        <v>86</v>
      </c>
      <c r="I520" t="s">
        <v>31</v>
      </c>
      <c r="J520" t="str">
        <f>IF(Student_Data[[#This Row],[Marks]] &gt;= 90,"A+",IF(Student_Data[[#This Row],[Marks]]&gt;=80,"A",IF(Student_Data[[#This Row],[Marks]]&gt;=70,"B",IF(Student_Data[[#This Row],[Marks]]&gt;=60,"C","F"))))</f>
        <v>A+</v>
      </c>
      <c r="K520" t="str">
        <f>IF(Student_Data[[#This Row],[Marks]]&gt;=35,"Pass","Fail")</f>
        <v>Pass</v>
      </c>
    </row>
    <row r="521" spans="1:11" x14ac:dyDescent="0.3">
      <c r="A521" t="s">
        <v>642</v>
      </c>
      <c r="B521" t="s">
        <v>39</v>
      </c>
      <c r="C521" t="s">
        <v>25</v>
      </c>
      <c r="D521">
        <v>11</v>
      </c>
      <c r="E521" t="s">
        <v>12</v>
      </c>
      <c r="F521" t="s">
        <v>26</v>
      </c>
      <c r="G521">
        <v>53</v>
      </c>
      <c r="H521">
        <v>82</v>
      </c>
      <c r="I521" t="s">
        <v>46</v>
      </c>
      <c r="J521" t="str">
        <f>IF(Student_Data[[#This Row],[Marks]] &gt;= 90,"A+",IF(Student_Data[[#This Row],[Marks]]&gt;=80,"A",IF(Student_Data[[#This Row],[Marks]]&gt;=70,"B",IF(Student_Data[[#This Row],[Marks]]&gt;=60,"C","F"))))</f>
        <v>F</v>
      </c>
      <c r="K521" t="str">
        <f>IF(Student_Data[[#This Row],[Marks]]&gt;=35,"Pass","Fail")</f>
        <v>Pass</v>
      </c>
    </row>
    <row r="522" spans="1:11" x14ac:dyDescent="0.3">
      <c r="A522" t="s">
        <v>643</v>
      </c>
      <c r="B522" t="s">
        <v>102</v>
      </c>
      <c r="C522" t="s">
        <v>25</v>
      </c>
      <c r="D522">
        <v>7</v>
      </c>
      <c r="E522" t="s">
        <v>33</v>
      </c>
      <c r="F522" t="s">
        <v>26</v>
      </c>
      <c r="G522">
        <v>94</v>
      </c>
      <c r="H522">
        <v>72</v>
      </c>
      <c r="I522" t="s">
        <v>46</v>
      </c>
      <c r="J522" t="str">
        <f>IF(Student_Data[[#This Row],[Marks]] &gt;= 90,"A+",IF(Student_Data[[#This Row],[Marks]]&gt;=80,"A",IF(Student_Data[[#This Row],[Marks]]&gt;=70,"B",IF(Student_Data[[#This Row],[Marks]]&gt;=60,"C","F"))))</f>
        <v>A+</v>
      </c>
      <c r="K522" t="str">
        <f>IF(Student_Data[[#This Row],[Marks]]&gt;=35,"Pass","Fail")</f>
        <v>Pass</v>
      </c>
    </row>
    <row r="523" spans="1:11" x14ac:dyDescent="0.3">
      <c r="A523" t="s">
        <v>644</v>
      </c>
      <c r="B523" t="s">
        <v>380</v>
      </c>
      <c r="C523" t="s">
        <v>11</v>
      </c>
      <c r="D523">
        <v>10</v>
      </c>
      <c r="E523" t="s">
        <v>33</v>
      </c>
      <c r="F523" t="s">
        <v>26</v>
      </c>
      <c r="G523">
        <v>93</v>
      </c>
      <c r="H523">
        <v>97</v>
      </c>
      <c r="I523" t="s">
        <v>46</v>
      </c>
      <c r="J523" t="str">
        <f>IF(Student_Data[[#This Row],[Marks]] &gt;= 90,"A+",IF(Student_Data[[#This Row],[Marks]]&gt;=80,"A",IF(Student_Data[[#This Row],[Marks]]&gt;=70,"B",IF(Student_Data[[#This Row],[Marks]]&gt;=60,"C","F"))))</f>
        <v>A+</v>
      </c>
      <c r="K523" t="str">
        <f>IF(Student_Data[[#This Row],[Marks]]&gt;=35,"Pass","Fail")</f>
        <v>Pass</v>
      </c>
    </row>
    <row r="524" spans="1:11" x14ac:dyDescent="0.3">
      <c r="A524" t="s">
        <v>645</v>
      </c>
      <c r="B524" t="s">
        <v>28</v>
      </c>
      <c r="C524" t="s">
        <v>11</v>
      </c>
      <c r="D524">
        <v>8</v>
      </c>
      <c r="E524" t="s">
        <v>12</v>
      </c>
      <c r="F524" t="s">
        <v>34</v>
      </c>
      <c r="G524">
        <v>87</v>
      </c>
      <c r="H524">
        <v>83</v>
      </c>
      <c r="I524" t="s">
        <v>35</v>
      </c>
      <c r="J524" t="str">
        <f>IF(Student_Data[[#This Row],[Marks]] &gt;= 90,"A+",IF(Student_Data[[#This Row],[Marks]]&gt;=80,"A",IF(Student_Data[[#This Row],[Marks]]&gt;=70,"B",IF(Student_Data[[#This Row],[Marks]]&gt;=60,"C","F"))))</f>
        <v>A</v>
      </c>
      <c r="K524" t="str">
        <f>IF(Student_Data[[#This Row],[Marks]]&gt;=35,"Pass","Fail")</f>
        <v>Pass</v>
      </c>
    </row>
    <row r="525" spans="1:11" x14ac:dyDescent="0.3">
      <c r="A525" t="s">
        <v>646</v>
      </c>
      <c r="B525" t="s">
        <v>182</v>
      </c>
      <c r="C525" t="s">
        <v>11</v>
      </c>
      <c r="D525">
        <v>11</v>
      </c>
      <c r="E525" t="s">
        <v>12</v>
      </c>
      <c r="F525" t="s">
        <v>26</v>
      </c>
      <c r="G525">
        <v>78</v>
      </c>
      <c r="H525">
        <v>83</v>
      </c>
      <c r="I525" t="s">
        <v>35</v>
      </c>
      <c r="J525" t="str">
        <f>IF(Student_Data[[#This Row],[Marks]] &gt;= 90,"A+",IF(Student_Data[[#This Row],[Marks]]&gt;=80,"A",IF(Student_Data[[#This Row],[Marks]]&gt;=70,"B",IF(Student_Data[[#This Row],[Marks]]&gt;=60,"C","F"))))</f>
        <v>B</v>
      </c>
      <c r="K525" t="str">
        <f>IF(Student_Data[[#This Row],[Marks]]&gt;=35,"Pass","Fail")</f>
        <v>Pass</v>
      </c>
    </row>
    <row r="526" spans="1:11" x14ac:dyDescent="0.3">
      <c r="A526" t="s">
        <v>647</v>
      </c>
      <c r="B526" t="s">
        <v>211</v>
      </c>
      <c r="C526" t="s">
        <v>25</v>
      </c>
      <c r="D526">
        <v>8</v>
      </c>
      <c r="E526" t="s">
        <v>17</v>
      </c>
      <c r="F526" t="s">
        <v>18</v>
      </c>
      <c r="G526">
        <v>85</v>
      </c>
      <c r="H526">
        <v>61</v>
      </c>
      <c r="I526" t="s">
        <v>46</v>
      </c>
      <c r="J526" t="str">
        <f>IF(Student_Data[[#This Row],[Marks]] &gt;= 90,"A+",IF(Student_Data[[#This Row],[Marks]]&gt;=80,"A",IF(Student_Data[[#This Row],[Marks]]&gt;=70,"B",IF(Student_Data[[#This Row],[Marks]]&gt;=60,"C","F"))))</f>
        <v>A</v>
      </c>
      <c r="K526" t="str">
        <f>IF(Student_Data[[#This Row],[Marks]]&gt;=35,"Pass","Fail")</f>
        <v>Pass</v>
      </c>
    </row>
    <row r="527" spans="1:11" x14ac:dyDescent="0.3">
      <c r="A527" t="s">
        <v>648</v>
      </c>
      <c r="B527" t="s">
        <v>383</v>
      </c>
      <c r="C527" t="s">
        <v>11</v>
      </c>
      <c r="D527">
        <v>12</v>
      </c>
      <c r="E527" t="s">
        <v>17</v>
      </c>
      <c r="F527" t="s">
        <v>18</v>
      </c>
      <c r="G527">
        <v>48</v>
      </c>
      <c r="H527">
        <v>89</v>
      </c>
      <c r="I527" t="s">
        <v>49</v>
      </c>
      <c r="J527" t="str">
        <f>IF(Student_Data[[#This Row],[Marks]] &gt;= 90,"A+",IF(Student_Data[[#This Row],[Marks]]&gt;=80,"A",IF(Student_Data[[#This Row],[Marks]]&gt;=70,"B",IF(Student_Data[[#This Row],[Marks]]&gt;=60,"C","F"))))</f>
        <v>F</v>
      </c>
      <c r="K527" t="str">
        <f>IF(Student_Data[[#This Row],[Marks]]&gt;=35,"Pass","Fail")</f>
        <v>Pass</v>
      </c>
    </row>
    <row r="528" spans="1:11" x14ac:dyDescent="0.3">
      <c r="A528" t="s">
        <v>649</v>
      </c>
      <c r="B528" t="s">
        <v>82</v>
      </c>
      <c r="C528" t="s">
        <v>11</v>
      </c>
      <c r="D528">
        <v>12</v>
      </c>
      <c r="E528" t="s">
        <v>17</v>
      </c>
      <c r="F528" t="s">
        <v>13</v>
      </c>
      <c r="G528">
        <v>93</v>
      </c>
      <c r="H528">
        <v>93</v>
      </c>
      <c r="I528" t="s">
        <v>46</v>
      </c>
      <c r="J528" t="str">
        <f>IF(Student_Data[[#This Row],[Marks]] &gt;= 90,"A+",IF(Student_Data[[#This Row],[Marks]]&gt;=80,"A",IF(Student_Data[[#This Row],[Marks]]&gt;=70,"B",IF(Student_Data[[#This Row],[Marks]]&gt;=60,"C","F"))))</f>
        <v>A+</v>
      </c>
      <c r="K528" t="str">
        <f>IF(Student_Data[[#This Row],[Marks]]&gt;=35,"Pass","Fail")</f>
        <v>Pass</v>
      </c>
    </row>
    <row r="529" spans="1:11" x14ac:dyDescent="0.3">
      <c r="A529" t="s">
        <v>650</v>
      </c>
      <c r="B529" t="s">
        <v>107</v>
      </c>
      <c r="C529" t="s">
        <v>25</v>
      </c>
      <c r="D529">
        <v>12</v>
      </c>
      <c r="E529" t="s">
        <v>17</v>
      </c>
      <c r="F529" t="s">
        <v>34</v>
      </c>
      <c r="G529">
        <v>95</v>
      </c>
      <c r="H529">
        <v>71</v>
      </c>
      <c r="I529" t="s">
        <v>14</v>
      </c>
      <c r="J529" t="str">
        <f>IF(Student_Data[[#This Row],[Marks]] &gt;= 90,"A+",IF(Student_Data[[#This Row],[Marks]]&gt;=80,"A",IF(Student_Data[[#This Row],[Marks]]&gt;=70,"B",IF(Student_Data[[#This Row],[Marks]]&gt;=60,"C","F"))))</f>
        <v>A+</v>
      </c>
      <c r="K529" t="str">
        <f>IF(Student_Data[[#This Row],[Marks]]&gt;=35,"Pass","Fail")</f>
        <v>Pass</v>
      </c>
    </row>
    <row r="530" spans="1:11" x14ac:dyDescent="0.3">
      <c r="A530" t="s">
        <v>651</v>
      </c>
      <c r="B530" t="s">
        <v>80</v>
      </c>
      <c r="C530" t="s">
        <v>11</v>
      </c>
      <c r="D530">
        <v>12</v>
      </c>
      <c r="E530" t="s">
        <v>33</v>
      </c>
      <c r="F530" t="s">
        <v>34</v>
      </c>
      <c r="G530">
        <v>51</v>
      </c>
      <c r="H530">
        <v>96</v>
      </c>
      <c r="I530" t="s">
        <v>49</v>
      </c>
      <c r="J530" t="str">
        <f>IF(Student_Data[[#This Row],[Marks]] &gt;= 90,"A+",IF(Student_Data[[#This Row],[Marks]]&gt;=80,"A",IF(Student_Data[[#This Row],[Marks]]&gt;=70,"B",IF(Student_Data[[#This Row],[Marks]]&gt;=60,"C","F"))))</f>
        <v>F</v>
      </c>
      <c r="K530" t="str">
        <f>IF(Student_Data[[#This Row],[Marks]]&gt;=35,"Pass","Fail")</f>
        <v>Pass</v>
      </c>
    </row>
    <row r="531" spans="1:11" x14ac:dyDescent="0.3">
      <c r="A531" t="s">
        <v>652</v>
      </c>
      <c r="B531" t="s">
        <v>59</v>
      </c>
      <c r="C531" t="s">
        <v>11</v>
      </c>
      <c r="D531">
        <v>6</v>
      </c>
      <c r="E531" t="s">
        <v>12</v>
      </c>
      <c r="F531" t="s">
        <v>26</v>
      </c>
      <c r="G531">
        <v>68</v>
      </c>
      <c r="H531">
        <v>68</v>
      </c>
      <c r="I531" t="s">
        <v>19</v>
      </c>
      <c r="J531" t="str">
        <f>IF(Student_Data[[#This Row],[Marks]] &gt;= 90,"A+",IF(Student_Data[[#This Row],[Marks]]&gt;=80,"A",IF(Student_Data[[#This Row],[Marks]]&gt;=70,"B",IF(Student_Data[[#This Row],[Marks]]&gt;=60,"C","F"))))</f>
        <v>C</v>
      </c>
      <c r="K531" t="str">
        <f>IF(Student_Data[[#This Row],[Marks]]&gt;=35,"Pass","Fail")</f>
        <v>Pass</v>
      </c>
    </row>
    <row r="532" spans="1:11" x14ac:dyDescent="0.3">
      <c r="A532" t="s">
        <v>653</v>
      </c>
      <c r="B532" t="s">
        <v>88</v>
      </c>
      <c r="C532" t="s">
        <v>25</v>
      </c>
      <c r="D532">
        <v>11</v>
      </c>
      <c r="E532" t="s">
        <v>12</v>
      </c>
      <c r="F532" t="s">
        <v>22</v>
      </c>
      <c r="G532">
        <v>37</v>
      </c>
      <c r="H532">
        <v>80</v>
      </c>
      <c r="I532" t="s">
        <v>35</v>
      </c>
      <c r="J532" t="str">
        <f>IF(Student_Data[[#This Row],[Marks]] &gt;= 90,"A+",IF(Student_Data[[#This Row],[Marks]]&gt;=80,"A",IF(Student_Data[[#This Row],[Marks]]&gt;=70,"B",IF(Student_Data[[#This Row],[Marks]]&gt;=60,"C","F"))))</f>
        <v>F</v>
      </c>
      <c r="K532" t="str">
        <f>IF(Student_Data[[#This Row],[Marks]]&gt;=35,"Pass","Fail")</f>
        <v>Pass</v>
      </c>
    </row>
    <row r="533" spans="1:11" x14ac:dyDescent="0.3">
      <c r="A533" t="s">
        <v>654</v>
      </c>
      <c r="B533" t="s">
        <v>109</v>
      </c>
      <c r="C533" t="s">
        <v>25</v>
      </c>
      <c r="D533">
        <v>10</v>
      </c>
      <c r="E533" t="s">
        <v>33</v>
      </c>
      <c r="F533" t="s">
        <v>26</v>
      </c>
      <c r="G533">
        <v>49</v>
      </c>
      <c r="H533">
        <v>97</v>
      </c>
      <c r="I533" t="s">
        <v>49</v>
      </c>
      <c r="J533" t="str">
        <f>IF(Student_Data[[#This Row],[Marks]] &gt;= 90,"A+",IF(Student_Data[[#This Row],[Marks]]&gt;=80,"A",IF(Student_Data[[#This Row],[Marks]]&gt;=70,"B",IF(Student_Data[[#This Row],[Marks]]&gt;=60,"C","F"))))</f>
        <v>F</v>
      </c>
      <c r="K533" t="str">
        <f>IF(Student_Data[[#This Row],[Marks]]&gt;=35,"Pass","Fail")</f>
        <v>Pass</v>
      </c>
    </row>
    <row r="534" spans="1:11" x14ac:dyDescent="0.3">
      <c r="A534" t="s">
        <v>655</v>
      </c>
      <c r="B534" t="s">
        <v>141</v>
      </c>
      <c r="C534" t="s">
        <v>11</v>
      </c>
      <c r="D534">
        <v>9</v>
      </c>
      <c r="E534" t="s">
        <v>17</v>
      </c>
      <c r="F534" t="s">
        <v>18</v>
      </c>
      <c r="G534">
        <v>71</v>
      </c>
      <c r="H534">
        <v>63</v>
      </c>
      <c r="I534" t="s">
        <v>49</v>
      </c>
      <c r="J534" t="str">
        <f>IF(Student_Data[[#This Row],[Marks]] &gt;= 90,"A+",IF(Student_Data[[#This Row],[Marks]]&gt;=80,"A",IF(Student_Data[[#This Row],[Marks]]&gt;=70,"B",IF(Student_Data[[#This Row],[Marks]]&gt;=60,"C","F"))))</f>
        <v>B</v>
      </c>
      <c r="K534" t="str">
        <f>IF(Student_Data[[#This Row],[Marks]]&gt;=35,"Pass","Fail")</f>
        <v>Pass</v>
      </c>
    </row>
    <row r="535" spans="1:11" x14ac:dyDescent="0.3">
      <c r="A535" t="s">
        <v>656</v>
      </c>
      <c r="B535" t="s">
        <v>94</v>
      </c>
      <c r="C535" t="s">
        <v>11</v>
      </c>
      <c r="D535">
        <v>9</v>
      </c>
      <c r="E535" t="s">
        <v>33</v>
      </c>
      <c r="F535" t="s">
        <v>43</v>
      </c>
      <c r="G535">
        <v>53</v>
      </c>
      <c r="H535">
        <v>91</v>
      </c>
      <c r="I535" t="s">
        <v>35</v>
      </c>
      <c r="J535" t="str">
        <f>IF(Student_Data[[#This Row],[Marks]] &gt;= 90,"A+",IF(Student_Data[[#This Row],[Marks]]&gt;=80,"A",IF(Student_Data[[#This Row],[Marks]]&gt;=70,"B",IF(Student_Data[[#This Row],[Marks]]&gt;=60,"C","F"))))</f>
        <v>F</v>
      </c>
      <c r="K535" t="str">
        <f>IF(Student_Data[[#This Row],[Marks]]&gt;=35,"Pass","Fail")</f>
        <v>Pass</v>
      </c>
    </row>
    <row r="536" spans="1:11" x14ac:dyDescent="0.3">
      <c r="A536" t="s">
        <v>657</v>
      </c>
      <c r="B536" t="s">
        <v>116</v>
      </c>
      <c r="C536" t="s">
        <v>25</v>
      </c>
      <c r="D536">
        <v>7</v>
      </c>
      <c r="E536" t="s">
        <v>33</v>
      </c>
      <c r="F536" t="s">
        <v>22</v>
      </c>
      <c r="G536">
        <v>70</v>
      </c>
      <c r="H536">
        <v>82</v>
      </c>
      <c r="I536" t="s">
        <v>19</v>
      </c>
      <c r="J536" t="str">
        <f>IF(Student_Data[[#This Row],[Marks]] &gt;= 90,"A+",IF(Student_Data[[#This Row],[Marks]]&gt;=80,"A",IF(Student_Data[[#This Row],[Marks]]&gt;=70,"B",IF(Student_Data[[#This Row],[Marks]]&gt;=60,"C","F"))))</f>
        <v>B</v>
      </c>
      <c r="K536" t="str">
        <f>IF(Student_Data[[#This Row],[Marks]]&gt;=35,"Pass","Fail")</f>
        <v>Pass</v>
      </c>
    </row>
    <row r="537" spans="1:11" x14ac:dyDescent="0.3">
      <c r="A537" t="s">
        <v>658</v>
      </c>
      <c r="B537" t="s">
        <v>176</v>
      </c>
      <c r="C537" t="s">
        <v>11</v>
      </c>
      <c r="D537">
        <v>7</v>
      </c>
      <c r="E537" t="s">
        <v>17</v>
      </c>
      <c r="F537" t="s">
        <v>26</v>
      </c>
      <c r="G537">
        <v>63</v>
      </c>
      <c r="H537">
        <v>70</v>
      </c>
      <c r="I537" t="s">
        <v>14</v>
      </c>
      <c r="J537" t="str">
        <f>IF(Student_Data[[#This Row],[Marks]] &gt;= 90,"A+",IF(Student_Data[[#This Row],[Marks]]&gt;=80,"A",IF(Student_Data[[#This Row],[Marks]]&gt;=70,"B",IF(Student_Data[[#This Row],[Marks]]&gt;=60,"C","F"))))</f>
        <v>C</v>
      </c>
      <c r="K537" t="str">
        <f>IF(Student_Data[[#This Row],[Marks]]&gt;=35,"Pass","Fail")</f>
        <v>Pass</v>
      </c>
    </row>
    <row r="538" spans="1:11" x14ac:dyDescent="0.3">
      <c r="A538" t="s">
        <v>659</v>
      </c>
      <c r="B538" t="s">
        <v>211</v>
      </c>
      <c r="C538" t="s">
        <v>11</v>
      </c>
      <c r="D538">
        <v>6</v>
      </c>
      <c r="E538" t="s">
        <v>17</v>
      </c>
      <c r="F538" t="s">
        <v>13</v>
      </c>
      <c r="G538">
        <v>83</v>
      </c>
      <c r="H538">
        <v>79</v>
      </c>
      <c r="I538" t="s">
        <v>49</v>
      </c>
      <c r="J538" t="str">
        <f>IF(Student_Data[[#This Row],[Marks]] &gt;= 90,"A+",IF(Student_Data[[#This Row],[Marks]]&gt;=80,"A",IF(Student_Data[[#This Row],[Marks]]&gt;=70,"B",IF(Student_Data[[#This Row],[Marks]]&gt;=60,"C","F"))))</f>
        <v>A</v>
      </c>
      <c r="K538" t="str">
        <f>IF(Student_Data[[#This Row],[Marks]]&gt;=35,"Pass","Fail")</f>
        <v>Pass</v>
      </c>
    </row>
    <row r="539" spans="1:11" x14ac:dyDescent="0.3">
      <c r="A539" t="s">
        <v>660</v>
      </c>
      <c r="B539" t="s">
        <v>242</v>
      </c>
      <c r="C539" t="s">
        <v>11</v>
      </c>
      <c r="D539">
        <v>6</v>
      </c>
      <c r="E539" t="s">
        <v>17</v>
      </c>
      <c r="F539" t="s">
        <v>13</v>
      </c>
      <c r="G539">
        <v>41</v>
      </c>
      <c r="H539">
        <v>67</v>
      </c>
      <c r="I539" t="s">
        <v>40</v>
      </c>
      <c r="J539" t="str">
        <f>IF(Student_Data[[#This Row],[Marks]] &gt;= 90,"A+",IF(Student_Data[[#This Row],[Marks]]&gt;=80,"A",IF(Student_Data[[#This Row],[Marks]]&gt;=70,"B",IF(Student_Data[[#This Row],[Marks]]&gt;=60,"C","F"))))</f>
        <v>F</v>
      </c>
      <c r="K539" t="str">
        <f>IF(Student_Data[[#This Row],[Marks]]&gt;=35,"Pass","Fail")</f>
        <v>Pass</v>
      </c>
    </row>
    <row r="540" spans="1:11" x14ac:dyDescent="0.3">
      <c r="A540" t="s">
        <v>661</v>
      </c>
      <c r="B540" t="s">
        <v>242</v>
      </c>
      <c r="C540" t="s">
        <v>25</v>
      </c>
      <c r="D540">
        <v>7</v>
      </c>
      <c r="E540" t="s">
        <v>33</v>
      </c>
      <c r="F540" t="s">
        <v>18</v>
      </c>
      <c r="G540">
        <v>97</v>
      </c>
      <c r="H540">
        <v>73</v>
      </c>
      <c r="I540" t="s">
        <v>19</v>
      </c>
      <c r="J540" t="str">
        <f>IF(Student_Data[[#This Row],[Marks]] &gt;= 90,"A+",IF(Student_Data[[#This Row],[Marks]]&gt;=80,"A",IF(Student_Data[[#This Row],[Marks]]&gt;=70,"B",IF(Student_Data[[#This Row],[Marks]]&gt;=60,"C","F"))))</f>
        <v>A+</v>
      </c>
      <c r="K540" t="str">
        <f>IF(Student_Data[[#This Row],[Marks]]&gt;=35,"Pass","Fail")</f>
        <v>Pass</v>
      </c>
    </row>
    <row r="541" spans="1:11" x14ac:dyDescent="0.3">
      <c r="A541" t="s">
        <v>662</v>
      </c>
      <c r="B541" t="s">
        <v>432</v>
      </c>
      <c r="C541" t="s">
        <v>25</v>
      </c>
      <c r="D541">
        <v>10</v>
      </c>
      <c r="E541" t="s">
        <v>17</v>
      </c>
      <c r="F541" t="s">
        <v>43</v>
      </c>
      <c r="G541">
        <v>94</v>
      </c>
      <c r="H541">
        <v>85</v>
      </c>
      <c r="I541" t="s">
        <v>49</v>
      </c>
      <c r="J541" t="str">
        <f>IF(Student_Data[[#This Row],[Marks]] &gt;= 90,"A+",IF(Student_Data[[#This Row],[Marks]]&gt;=80,"A",IF(Student_Data[[#This Row],[Marks]]&gt;=70,"B",IF(Student_Data[[#This Row],[Marks]]&gt;=60,"C","F"))))</f>
        <v>A+</v>
      </c>
      <c r="K541" t="str">
        <f>IF(Student_Data[[#This Row],[Marks]]&gt;=35,"Pass","Fail")</f>
        <v>Pass</v>
      </c>
    </row>
    <row r="542" spans="1:11" x14ac:dyDescent="0.3">
      <c r="A542" t="s">
        <v>663</v>
      </c>
      <c r="B542" t="s">
        <v>452</v>
      </c>
      <c r="C542" t="s">
        <v>11</v>
      </c>
      <c r="D542">
        <v>6</v>
      </c>
      <c r="E542" t="s">
        <v>17</v>
      </c>
      <c r="F542" t="s">
        <v>22</v>
      </c>
      <c r="G542">
        <v>35</v>
      </c>
      <c r="H542">
        <v>98</v>
      </c>
      <c r="I542" t="s">
        <v>14</v>
      </c>
      <c r="J542" t="str">
        <f>IF(Student_Data[[#This Row],[Marks]] &gt;= 90,"A+",IF(Student_Data[[#This Row],[Marks]]&gt;=80,"A",IF(Student_Data[[#This Row],[Marks]]&gt;=70,"B",IF(Student_Data[[#This Row],[Marks]]&gt;=60,"C","F"))))</f>
        <v>F</v>
      </c>
      <c r="K542" t="str">
        <f>IF(Student_Data[[#This Row],[Marks]]&gt;=35,"Pass","Fail")</f>
        <v>Pass</v>
      </c>
    </row>
    <row r="543" spans="1:11" x14ac:dyDescent="0.3">
      <c r="A543" t="s">
        <v>664</v>
      </c>
      <c r="B543" t="s">
        <v>21</v>
      </c>
      <c r="C543" t="s">
        <v>25</v>
      </c>
      <c r="D543">
        <v>12</v>
      </c>
      <c r="E543" t="s">
        <v>17</v>
      </c>
      <c r="F543" t="s">
        <v>18</v>
      </c>
      <c r="G543">
        <v>59</v>
      </c>
      <c r="H543">
        <v>63</v>
      </c>
      <c r="I543" t="s">
        <v>35</v>
      </c>
      <c r="J543" t="str">
        <f>IF(Student_Data[[#This Row],[Marks]] &gt;= 90,"A+",IF(Student_Data[[#This Row],[Marks]]&gt;=80,"A",IF(Student_Data[[#This Row],[Marks]]&gt;=70,"B",IF(Student_Data[[#This Row],[Marks]]&gt;=60,"C","F"))))</f>
        <v>F</v>
      </c>
      <c r="K543" t="str">
        <f>IF(Student_Data[[#This Row],[Marks]]&gt;=35,"Pass","Fail")</f>
        <v>Pass</v>
      </c>
    </row>
    <row r="544" spans="1:11" x14ac:dyDescent="0.3">
      <c r="A544" t="s">
        <v>665</v>
      </c>
      <c r="B544" t="s">
        <v>121</v>
      </c>
      <c r="C544" t="s">
        <v>11</v>
      </c>
      <c r="D544">
        <v>9</v>
      </c>
      <c r="E544" t="s">
        <v>12</v>
      </c>
      <c r="F544" t="s">
        <v>22</v>
      </c>
      <c r="G544">
        <v>86</v>
      </c>
      <c r="H544">
        <v>68</v>
      </c>
      <c r="I544" t="s">
        <v>14</v>
      </c>
      <c r="J544" t="str">
        <f>IF(Student_Data[[#This Row],[Marks]] &gt;= 90,"A+",IF(Student_Data[[#This Row],[Marks]]&gt;=80,"A",IF(Student_Data[[#This Row],[Marks]]&gt;=70,"B",IF(Student_Data[[#This Row],[Marks]]&gt;=60,"C","F"))))</f>
        <v>A</v>
      </c>
      <c r="K544" t="str">
        <f>IF(Student_Data[[#This Row],[Marks]]&gt;=35,"Pass","Fail")</f>
        <v>Pass</v>
      </c>
    </row>
    <row r="545" spans="1:11" x14ac:dyDescent="0.3">
      <c r="A545" t="s">
        <v>666</v>
      </c>
      <c r="B545" t="s">
        <v>66</v>
      </c>
      <c r="C545" t="s">
        <v>25</v>
      </c>
      <c r="D545">
        <v>11</v>
      </c>
      <c r="E545" t="s">
        <v>33</v>
      </c>
      <c r="F545" t="s">
        <v>22</v>
      </c>
      <c r="G545">
        <v>76</v>
      </c>
      <c r="H545">
        <v>84</v>
      </c>
      <c r="I545" t="s">
        <v>46</v>
      </c>
      <c r="J545" t="str">
        <f>IF(Student_Data[[#This Row],[Marks]] &gt;= 90,"A+",IF(Student_Data[[#This Row],[Marks]]&gt;=80,"A",IF(Student_Data[[#This Row],[Marks]]&gt;=70,"B",IF(Student_Data[[#This Row],[Marks]]&gt;=60,"C","F"))))</f>
        <v>B</v>
      </c>
      <c r="K545" t="str">
        <f>IF(Student_Data[[#This Row],[Marks]]&gt;=35,"Pass","Fail")</f>
        <v>Pass</v>
      </c>
    </row>
    <row r="546" spans="1:11" x14ac:dyDescent="0.3">
      <c r="A546" t="s">
        <v>667</v>
      </c>
      <c r="B546" t="s">
        <v>457</v>
      </c>
      <c r="C546" t="s">
        <v>25</v>
      </c>
      <c r="D546">
        <v>9</v>
      </c>
      <c r="E546" t="s">
        <v>33</v>
      </c>
      <c r="F546" t="s">
        <v>13</v>
      </c>
      <c r="G546">
        <v>66</v>
      </c>
      <c r="H546">
        <v>73</v>
      </c>
      <c r="I546" t="s">
        <v>14</v>
      </c>
      <c r="J546" t="str">
        <f>IF(Student_Data[[#This Row],[Marks]] &gt;= 90,"A+",IF(Student_Data[[#This Row],[Marks]]&gt;=80,"A",IF(Student_Data[[#This Row],[Marks]]&gt;=70,"B",IF(Student_Data[[#This Row],[Marks]]&gt;=60,"C","F"))))</f>
        <v>C</v>
      </c>
      <c r="K546" t="str">
        <f>IF(Student_Data[[#This Row],[Marks]]&gt;=35,"Pass","Fail")</f>
        <v>Pass</v>
      </c>
    </row>
    <row r="547" spans="1:11" x14ac:dyDescent="0.3">
      <c r="A547" t="s">
        <v>668</v>
      </c>
      <c r="B547" t="s">
        <v>395</v>
      </c>
      <c r="C547" t="s">
        <v>11</v>
      </c>
      <c r="D547">
        <v>10</v>
      </c>
      <c r="E547" t="s">
        <v>17</v>
      </c>
      <c r="F547" t="s">
        <v>22</v>
      </c>
      <c r="G547">
        <v>81</v>
      </c>
      <c r="H547">
        <v>75</v>
      </c>
      <c r="I547" t="s">
        <v>35</v>
      </c>
      <c r="J547" t="str">
        <f>IF(Student_Data[[#This Row],[Marks]] &gt;= 90,"A+",IF(Student_Data[[#This Row],[Marks]]&gt;=80,"A",IF(Student_Data[[#This Row],[Marks]]&gt;=70,"B",IF(Student_Data[[#This Row],[Marks]]&gt;=60,"C","F"))))</f>
        <v>A</v>
      </c>
      <c r="K547" t="str">
        <f>IF(Student_Data[[#This Row],[Marks]]&gt;=35,"Pass","Fail")</f>
        <v>Pass</v>
      </c>
    </row>
    <row r="548" spans="1:11" x14ac:dyDescent="0.3">
      <c r="A548" t="s">
        <v>669</v>
      </c>
      <c r="B548" t="s">
        <v>129</v>
      </c>
      <c r="C548" t="s">
        <v>25</v>
      </c>
      <c r="D548">
        <v>8</v>
      </c>
      <c r="E548" t="s">
        <v>33</v>
      </c>
      <c r="F548" t="s">
        <v>13</v>
      </c>
      <c r="G548">
        <v>85</v>
      </c>
      <c r="H548">
        <v>60</v>
      </c>
      <c r="I548" t="s">
        <v>31</v>
      </c>
      <c r="J548" t="str">
        <f>IF(Student_Data[[#This Row],[Marks]] &gt;= 90,"A+",IF(Student_Data[[#This Row],[Marks]]&gt;=80,"A",IF(Student_Data[[#This Row],[Marks]]&gt;=70,"B",IF(Student_Data[[#This Row],[Marks]]&gt;=60,"C","F"))))</f>
        <v>A</v>
      </c>
      <c r="K548" t="str">
        <f>IF(Student_Data[[#This Row],[Marks]]&gt;=35,"Pass","Fail")</f>
        <v>Pass</v>
      </c>
    </row>
    <row r="549" spans="1:11" x14ac:dyDescent="0.3">
      <c r="A549" t="s">
        <v>670</v>
      </c>
      <c r="B549" t="s">
        <v>173</v>
      </c>
      <c r="C549" t="s">
        <v>25</v>
      </c>
      <c r="D549">
        <v>10</v>
      </c>
      <c r="E549" t="s">
        <v>12</v>
      </c>
      <c r="F549" t="s">
        <v>43</v>
      </c>
      <c r="G549">
        <v>39</v>
      </c>
      <c r="H549">
        <v>96</v>
      </c>
      <c r="I549" t="s">
        <v>49</v>
      </c>
      <c r="J549" t="str">
        <f>IF(Student_Data[[#This Row],[Marks]] &gt;= 90,"A+",IF(Student_Data[[#This Row],[Marks]]&gt;=80,"A",IF(Student_Data[[#This Row],[Marks]]&gt;=70,"B",IF(Student_Data[[#This Row],[Marks]]&gt;=60,"C","F"))))</f>
        <v>F</v>
      </c>
      <c r="K549" t="str">
        <f>IF(Student_Data[[#This Row],[Marks]]&gt;=35,"Pass","Fail")</f>
        <v>Pass</v>
      </c>
    </row>
    <row r="550" spans="1:11" x14ac:dyDescent="0.3">
      <c r="A550" t="s">
        <v>671</v>
      </c>
      <c r="B550" t="s">
        <v>51</v>
      </c>
      <c r="C550" t="s">
        <v>25</v>
      </c>
      <c r="D550">
        <v>9</v>
      </c>
      <c r="E550" t="s">
        <v>12</v>
      </c>
      <c r="F550" t="s">
        <v>18</v>
      </c>
      <c r="G550">
        <v>64</v>
      </c>
      <c r="H550">
        <v>65</v>
      </c>
      <c r="I550" t="s">
        <v>31</v>
      </c>
      <c r="J550" t="str">
        <f>IF(Student_Data[[#This Row],[Marks]] &gt;= 90,"A+",IF(Student_Data[[#This Row],[Marks]]&gt;=80,"A",IF(Student_Data[[#This Row],[Marks]]&gt;=70,"B",IF(Student_Data[[#This Row],[Marks]]&gt;=60,"C","F"))))</f>
        <v>C</v>
      </c>
      <c r="K550" t="str">
        <f>IF(Student_Data[[#This Row],[Marks]]&gt;=35,"Pass","Fail")</f>
        <v>Pass</v>
      </c>
    </row>
    <row r="551" spans="1:11" x14ac:dyDescent="0.3">
      <c r="A551" t="s">
        <v>672</v>
      </c>
      <c r="B551" t="s">
        <v>55</v>
      </c>
      <c r="C551" t="s">
        <v>11</v>
      </c>
      <c r="D551">
        <v>9</v>
      </c>
      <c r="E551" t="s">
        <v>12</v>
      </c>
      <c r="F551" t="s">
        <v>34</v>
      </c>
      <c r="G551">
        <v>58</v>
      </c>
      <c r="H551">
        <v>72</v>
      </c>
      <c r="I551" t="s">
        <v>40</v>
      </c>
      <c r="J551" t="str">
        <f>IF(Student_Data[[#This Row],[Marks]] &gt;= 90,"A+",IF(Student_Data[[#This Row],[Marks]]&gt;=80,"A",IF(Student_Data[[#This Row],[Marks]]&gt;=70,"B",IF(Student_Data[[#This Row],[Marks]]&gt;=60,"C","F"))))</f>
        <v>F</v>
      </c>
      <c r="K551" t="str">
        <f>IF(Student_Data[[#This Row],[Marks]]&gt;=35,"Pass","Fail")</f>
        <v>Pass</v>
      </c>
    </row>
    <row r="552" spans="1:11" x14ac:dyDescent="0.3">
      <c r="A552" t="s">
        <v>673</v>
      </c>
      <c r="B552" t="s">
        <v>132</v>
      </c>
      <c r="C552" t="s">
        <v>11</v>
      </c>
      <c r="D552">
        <v>12</v>
      </c>
      <c r="E552" t="s">
        <v>17</v>
      </c>
      <c r="F552" t="s">
        <v>22</v>
      </c>
      <c r="G552">
        <v>79</v>
      </c>
      <c r="H552">
        <v>63</v>
      </c>
      <c r="I552" t="s">
        <v>49</v>
      </c>
      <c r="J552" t="str">
        <f>IF(Student_Data[[#This Row],[Marks]] &gt;= 90,"A+",IF(Student_Data[[#This Row],[Marks]]&gt;=80,"A",IF(Student_Data[[#This Row],[Marks]]&gt;=70,"B",IF(Student_Data[[#This Row],[Marks]]&gt;=60,"C","F"))))</f>
        <v>B</v>
      </c>
      <c r="K552" t="str">
        <f>IF(Student_Data[[#This Row],[Marks]]&gt;=35,"Pass","Fail")</f>
        <v>Pass</v>
      </c>
    </row>
    <row r="553" spans="1:11" x14ac:dyDescent="0.3">
      <c r="A553" t="s">
        <v>674</v>
      </c>
      <c r="B553" t="s">
        <v>239</v>
      </c>
      <c r="C553" t="s">
        <v>25</v>
      </c>
      <c r="D553">
        <v>6</v>
      </c>
      <c r="E553" t="s">
        <v>12</v>
      </c>
      <c r="F553" t="s">
        <v>13</v>
      </c>
      <c r="G553">
        <v>64</v>
      </c>
      <c r="H553">
        <v>70</v>
      </c>
      <c r="I553" t="s">
        <v>46</v>
      </c>
      <c r="J553" t="str">
        <f>IF(Student_Data[[#This Row],[Marks]] &gt;= 90,"A+",IF(Student_Data[[#This Row],[Marks]]&gt;=80,"A",IF(Student_Data[[#This Row],[Marks]]&gt;=70,"B",IF(Student_Data[[#This Row],[Marks]]&gt;=60,"C","F"))))</f>
        <v>C</v>
      </c>
      <c r="K553" t="str">
        <f>IF(Student_Data[[#This Row],[Marks]]&gt;=35,"Pass","Fail")</f>
        <v>Pass</v>
      </c>
    </row>
    <row r="554" spans="1:11" x14ac:dyDescent="0.3">
      <c r="A554" t="s">
        <v>675</v>
      </c>
      <c r="B554" t="s">
        <v>129</v>
      </c>
      <c r="C554" t="s">
        <v>11</v>
      </c>
      <c r="D554">
        <v>7</v>
      </c>
      <c r="E554" t="s">
        <v>17</v>
      </c>
      <c r="F554" t="s">
        <v>22</v>
      </c>
      <c r="G554">
        <v>84</v>
      </c>
      <c r="H554">
        <v>78</v>
      </c>
      <c r="I554" t="s">
        <v>49</v>
      </c>
      <c r="J554" t="str">
        <f>IF(Student_Data[[#This Row],[Marks]] &gt;= 90,"A+",IF(Student_Data[[#This Row],[Marks]]&gt;=80,"A",IF(Student_Data[[#This Row],[Marks]]&gt;=70,"B",IF(Student_Data[[#This Row],[Marks]]&gt;=60,"C","F"))))</f>
        <v>A</v>
      </c>
      <c r="K554" t="str">
        <f>IF(Student_Data[[#This Row],[Marks]]&gt;=35,"Pass","Fail")</f>
        <v>Pass</v>
      </c>
    </row>
    <row r="555" spans="1:11" x14ac:dyDescent="0.3">
      <c r="A555" t="s">
        <v>676</v>
      </c>
      <c r="B555" t="s">
        <v>30</v>
      </c>
      <c r="C555" t="s">
        <v>11</v>
      </c>
      <c r="D555">
        <v>10</v>
      </c>
      <c r="E555" t="s">
        <v>17</v>
      </c>
      <c r="F555" t="s">
        <v>43</v>
      </c>
      <c r="G555">
        <v>64</v>
      </c>
      <c r="H555">
        <v>71</v>
      </c>
      <c r="I555" t="s">
        <v>35</v>
      </c>
      <c r="J555" t="str">
        <f>IF(Student_Data[[#This Row],[Marks]] &gt;= 90,"A+",IF(Student_Data[[#This Row],[Marks]]&gt;=80,"A",IF(Student_Data[[#This Row],[Marks]]&gt;=70,"B",IF(Student_Data[[#This Row],[Marks]]&gt;=60,"C","F"))))</f>
        <v>C</v>
      </c>
      <c r="K555" t="str">
        <f>IF(Student_Data[[#This Row],[Marks]]&gt;=35,"Pass","Fail")</f>
        <v>Pass</v>
      </c>
    </row>
    <row r="556" spans="1:11" x14ac:dyDescent="0.3">
      <c r="A556" t="s">
        <v>677</v>
      </c>
      <c r="B556" t="s">
        <v>143</v>
      </c>
      <c r="C556" t="s">
        <v>25</v>
      </c>
      <c r="D556">
        <v>9</v>
      </c>
      <c r="E556" t="s">
        <v>33</v>
      </c>
      <c r="F556" t="s">
        <v>18</v>
      </c>
      <c r="G556">
        <v>82</v>
      </c>
      <c r="H556">
        <v>80</v>
      </c>
      <c r="I556" t="s">
        <v>19</v>
      </c>
      <c r="J556" t="str">
        <f>IF(Student_Data[[#This Row],[Marks]] &gt;= 90,"A+",IF(Student_Data[[#This Row],[Marks]]&gt;=80,"A",IF(Student_Data[[#This Row],[Marks]]&gt;=70,"B",IF(Student_Data[[#This Row],[Marks]]&gt;=60,"C","F"))))</f>
        <v>A</v>
      </c>
      <c r="K556" t="str">
        <f>IF(Student_Data[[#This Row],[Marks]]&gt;=35,"Pass","Fail")</f>
        <v>Pass</v>
      </c>
    </row>
    <row r="557" spans="1:11" x14ac:dyDescent="0.3">
      <c r="A557" t="s">
        <v>678</v>
      </c>
      <c r="B557" t="s">
        <v>244</v>
      </c>
      <c r="C557" t="s">
        <v>11</v>
      </c>
      <c r="D557">
        <v>9</v>
      </c>
      <c r="E557" t="s">
        <v>17</v>
      </c>
      <c r="F557" t="s">
        <v>18</v>
      </c>
      <c r="G557">
        <v>41</v>
      </c>
      <c r="H557">
        <v>94</v>
      </c>
      <c r="I557" t="s">
        <v>40</v>
      </c>
      <c r="J557" t="str">
        <f>IF(Student_Data[[#This Row],[Marks]] &gt;= 90,"A+",IF(Student_Data[[#This Row],[Marks]]&gt;=80,"A",IF(Student_Data[[#This Row],[Marks]]&gt;=70,"B",IF(Student_Data[[#This Row],[Marks]]&gt;=60,"C","F"))))</f>
        <v>F</v>
      </c>
      <c r="K557" t="str">
        <f>IF(Student_Data[[#This Row],[Marks]]&gt;=35,"Pass","Fail")</f>
        <v>Pass</v>
      </c>
    </row>
    <row r="558" spans="1:11" x14ac:dyDescent="0.3">
      <c r="A558" t="s">
        <v>679</v>
      </c>
      <c r="B558" t="s">
        <v>232</v>
      </c>
      <c r="C558" t="s">
        <v>11</v>
      </c>
      <c r="D558">
        <v>7</v>
      </c>
      <c r="E558" t="s">
        <v>12</v>
      </c>
      <c r="F558" t="s">
        <v>22</v>
      </c>
      <c r="G558">
        <v>51</v>
      </c>
      <c r="H558">
        <v>68</v>
      </c>
      <c r="I558" t="s">
        <v>49</v>
      </c>
      <c r="J558" t="str">
        <f>IF(Student_Data[[#This Row],[Marks]] &gt;= 90,"A+",IF(Student_Data[[#This Row],[Marks]]&gt;=80,"A",IF(Student_Data[[#This Row],[Marks]]&gt;=70,"B",IF(Student_Data[[#This Row],[Marks]]&gt;=60,"C","F"))))</f>
        <v>F</v>
      </c>
      <c r="K558" t="str">
        <f>IF(Student_Data[[#This Row],[Marks]]&gt;=35,"Pass","Fail")</f>
        <v>Pass</v>
      </c>
    </row>
    <row r="559" spans="1:11" x14ac:dyDescent="0.3">
      <c r="A559" t="s">
        <v>680</v>
      </c>
      <c r="B559" t="s">
        <v>214</v>
      </c>
      <c r="C559" t="s">
        <v>25</v>
      </c>
      <c r="D559">
        <v>8</v>
      </c>
      <c r="E559" t="s">
        <v>33</v>
      </c>
      <c r="F559" t="s">
        <v>43</v>
      </c>
      <c r="G559">
        <v>94</v>
      </c>
      <c r="H559">
        <v>94</v>
      </c>
      <c r="I559" t="s">
        <v>19</v>
      </c>
      <c r="J559" t="str">
        <f>IF(Student_Data[[#This Row],[Marks]] &gt;= 90,"A+",IF(Student_Data[[#This Row],[Marks]]&gt;=80,"A",IF(Student_Data[[#This Row],[Marks]]&gt;=70,"B",IF(Student_Data[[#This Row],[Marks]]&gt;=60,"C","F"))))</f>
        <v>A+</v>
      </c>
      <c r="K559" t="str">
        <f>IF(Student_Data[[#This Row],[Marks]]&gt;=35,"Pass","Fail")</f>
        <v>Pass</v>
      </c>
    </row>
    <row r="560" spans="1:11" x14ac:dyDescent="0.3">
      <c r="A560" t="s">
        <v>681</v>
      </c>
      <c r="B560" t="s">
        <v>61</v>
      </c>
      <c r="C560" t="s">
        <v>11</v>
      </c>
      <c r="D560">
        <v>10</v>
      </c>
      <c r="E560" t="s">
        <v>33</v>
      </c>
      <c r="F560" t="s">
        <v>18</v>
      </c>
      <c r="G560">
        <v>77</v>
      </c>
      <c r="H560">
        <v>80</v>
      </c>
      <c r="I560" t="s">
        <v>31</v>
      </c>
      <c r="J560" t="str">
        <f>IF(Student_Data[[#This Row],[Marks]] &gt;= 90,"A+",IF(Student_Data[[#This Row],[Marks]]&gt;=80,"A",IF(Student_Data[[#This Row],[Marks]]&gt;=70,"B",IF(Student_Data[[#This Row],[Marks]]&gt;=60,"C","F"))))</f>
        <v>B</v>
      </c>
      <c r="K560" t="str">
        <f>IF(Student_Data[[#This Row],[Marks]]&gt;=35,"Pass","Fail")</f>
        <v>Pass</v>
      </c>
    </row>
    <row r="561" spans="1:11" x14ac:dyDescent="0.3">
      <c r="A561" t="s">
        <v>682</v>
      </c>
      <c r="B561" t="s">
        <v>173</v>
      </c>
      <c r="C561" t="s">
        <v>11</v>
      </c>
      <c r="D561">
        <v>11</v>
      </c>
      <c r="E561" t="s">
        <v>17</v>
      </c>
      <c r="F561" t="s">
        <v>18</v>
      </c>
      <c r="G561">
        <v>36</v>
      </c>
      <c r="H561">
        <v>75</v>
      </c>
      <c r="I561" t="s">
        <v>14</v>
      </c>
      <c r="J561" t="str">
        <f>IF(Student_Data[[#This Row],[Marks]] &gt;= 90,"A+",IF(Student_Data[[#This Row],[Marks]]&gt;=80,"A",IF(Student_Data[[#This Row],[Marks]]&gt;=70,"B",IF(Student_Data[[#This Row],[Marks]]&gt;=60,"C","F"))))</f>
        <v>F</v>
      </c>
      <c r="K561" t="str">
        <f>IF(Student_Data[[#This Row],[Marks]]&gt;=35,"Pass","Fail")</f>
        <v>Pass</v>
      </c>
    </row>
    <row r="562" spans="1:11" x14ac:dyDescent="0.3">
      <c r="A562" t="s">
        <v>683</v>
      </c>
      <c r="B562" t="s">
        <v>380</v>
      </c>
      <c r="C562" t="s">
        <v>25</v>
      </c>
      <c r="D562">
        <v>9</v>
      </c>
      <c r="E562" t="s">
        <v>12</v>
      </c>
      <c r="F562" t="s">
        <v>22</v>
      </c>
      <c r="G562">
        <v>69</v>
      </c>
      <c r="H562">
        <v>86</v>
      </c>
      <c r="I562" t="s">
        <v>49</v>
      </c>
      <c r="J562" t="str">
        <f>IF(Student_Data[[#This Row],[Marks]] &gt;= 90,"A+",IF(Student_Data[[#This Row],[Marks]]&gt;=80,"A",IF(Student_Data[[#This Row],[Marks]]&gt;=70,"B",IF(Student_Data[[#This Row],[Marks]]&gt;=60,"C","F"))))</f>
        <v>C</v>
      </c>
      <c r="K562" t="str">
        <f>IF(Student_Data[[#This Row],[Marks]]&gt;=35,"Pass","Fail")</f>
        <v>Pass</v>
      </c>
    </row>
    <row r="563" spans="1:11" x14ac:dyDescent="0.3">
      <c r="A563" t="s">
        <v>684</v>
      </c>
      <c r="B563" t="s">
        <v>285</v>
      </c>
      <c r="C563" t="s">
        <v>11</v>
      </c>
      <c r="D563">
        <v>12</v>
      </c>
      <c r="E563" t="s">
        <v>12</v>
      </c>
      <c r="F563" t="s">
        <v>22</v>
      </c>
      <c r="G563">
        <v>95</v>
      </c>
      <c r="H563">
        <v>94</v>
      </c>
      <c r="I563" t="s">
        <v>49</v>
      </c>
      <c r="J563" t="str">
        <f>IF(Student_Data[[#This Row],[Marks]] &gt;= 90,"A+",IF(Student_Data[[#This Row],[Marks]]&gt;=80,"A",IF(Student_Data[[#This Row],[Marks]]&gt;=70,"B",IF(Student_Data[[#This Row],[Marks]]&gt;=60,"C","F"))))</f>
        <v>A+</v>
      </c>
      <c r="K563" t="str">
        <f>IF(Student_Data[[#This Row],[Marks]]&gt;=35,"Pass","Fail")</f>
        <v>Pass</v>
      </c>
    </row>
    <row r="564" spans="1:11" x14ac:dyDescent="0.3">
      <c r="A564" t="s">
        <v>685</v>
      </c>
      <c r="B564" t="s">
        <v>168</v>
      </c>
      <c r="C564" t="s">
        <v>25</v>
      </c>
      <c r="D564">
        <v>7</v>
      </c>
      <c r="E564" t="s">
        <v>12</v>
      </c>
      <c r="F564" t="s">
        <v>18</v>
      </c>
      <c r="G564">
        <v>100</v>
      </c>
      <c r="H564">
        <v>64</v>
      </c>
      <c r="I564" t="s">
        <v>14</v>
      </c>
      <c r="J564" t="str">
        <f>IF(Student_Data[[#This Row],[Marks]] &gt;= 90,"A+",IF(Student_Data[[#This Row],[Marks]]&gt;=80,"A",IF(Student_Data[[#This Row],[Marks]]&gt;=70,"B",IF(Student_Data[[#This Row],[Marks]]&gt;=60,"C","F"))))</f>
        <v>A+</v>
      </c>
      <c r="K564" t="str">
        <f>IF(Student_Data[[#This Row],[Marks]]&gt;=35,"Pass","Fail")</f>
        <v>Pass</v>
      </c>
    </row>
    <row r="565" spans="1:11" x14ac:dyDescent="0.3">
      <c r="A565" t="s">
        <v>686</v>
      </c>
      <c r="B565" t="s">
        <v>94</v>
      </c>
      <c r="C565" t="s">
        <v>25</v>
      </c>
      <c r="D565">
        <v>9</v>
      </c>
      <c r="E565" t="s">
        <v>17</v>
      </c>
      <c r="F565" t="s">
        <v>22</v>
      </c>
      <c r="G565">
        <v>96</v>
      </c>
      <c r="H565">
        <v>78</v>
      </c>
      <c r="I565" t="s">
        <v>49</v>
      </c>
      <c r="J565" t="str">
        <f>IF(Student_Data[[#This Row],[Marks]] &gt;= 90,"A+",IF(Student_Data[[#This Row],[Marks]]&gt;=80,"A",IF(Student_Data[[#This Row],[Marks]]&gt;=70,"B",IF(Student_Data[[#This Row],[Marks]]&gt;=60,"C","F"))))</f>
        <v>A+</v>
      </c>
      <c r="K565" t="str">
        <f>IF(Student_Data[[#This Row],[Marks]]&gt;=35,"Pass","Fail")</f>
        <v>Pass</v>
      </c>
    </row>
    <row r="566" spans="1:11" x14ac:dyDescent="0.3">
      <c r="A566" t="s">
        <v>687</v>
      </c>
      <c r="B566" t="s">
        <v>211</v>
      </c>
      <c r="C566" t="s">
        <v>11</v>
      </c>
      <c r="D566">
        <v>10</v>
      </c>
      <c r="E566" t="s">
        <v>33</v>
      </c>
      <c r="F566" t="s">
        <v>26</v>
      </c>
      <c r="G566">
        <v>58</v>
      </c>
      <c r="H566">
        <v>96</v>
      </c>
      <c r="I566" t="s">
        <v>40</v>
      </c>
      <c r="J566" t="str">
        <f>IF(Student_Data[[#This Row],[Marks]] &gt;= 90,"A+",IF(Student_Data[[#This Row],[Marks]]&gt;=80,"A",IF(Student_Data[[#This Row],[Marks]]&gt;=70,"B",IF(Student_Data[[#This Row],[Marks]]&gt;=60,"C","F"))))</f>
        <v>F</v>
      </c>
      <c r="K566" t="str">
        <f>IF(Student_Data[[#This Row],[Marks]]&gt;=35,"Pass","Fail")</f>
        <v>Pass</v>
      </c>
    </row>
    <row r="567" spans="1:11" x14ac:dyDescent="0.3">
      <c r="A567" t="s">
        <v>688</v>
      </c>
      <c r="B567" t="s">
        <v>24</v>
      </c>
      <c r="C567" t="s">
        <v>11</v>
      </c>
      <c r="D567">
        <v>10</v>
      </c>
      <c r="E567" t="s">
        <v>33</v>
      </c>
      <c r="F567" t="s">
        <v>34</v>
      </c>
      <c r="G567">
        <v>48</v>
      </c>
      <c r="H567">
        <v>89</v>
      </c>
      <c r="I567" t="s">
        <v>14</v>
      </c>
      <c r="J567" t="str">
        <f>IF(Student_Data[[#This Row],[Marks]] &gt;= 90,"A+",IF(Student_Data[[#This Row],[Marks]]&gt;=80,"A",IF(Student_Data[[#This Row],[Marks]]&gt;=70,"B",IF(Student_Data[[#This Row],[Marks]]&gt;=60,"C","F"))))</f>
        <v>F</v>
      </c>
      <c r="K567" t="str">
        <f>IF(Student_Data[[#This Row],[Marks]]&gt;=35,"Pass","Fail")</f>
        <v>Pass</v>
      </c>
    </row>
    <row r="568" spans="1:11" x14ac:dyDescent="0.3">
      <c r="A568" t="s">
        <v>689</v>
      </c>
      <c r="B568" t="s">
        <v>242</v>
      </c>
      <c r="C568" t="s">
        <v>25</v>
      </c>
      <c r="D568">
        <v>10</v>
      </c>
      <c r="E568" t="s">
        <v>33</v>
      </c>
      <c r="F568" t="s">
        <v>22</v>
      </c>
      <c r="G568">
        <v>90</v>
      </c>
      <c r="H568">
        <v>96</v>
      </c>
      <c r="I568" t="s">
        <v>46</v>
      </c>
      <c r="J568" t="str">
        <f>IF(Student_Data[[#This Row],[Marks]] &gt;= 90,"A+",IF(Student_Data[[#This Row],[Marks]]&gt;=80,"A",IF(Student_Data[[#This Row],[Marks]]&gt;=70,"B",IF(Student_Data[[#This Row],[Marks]]&gt;=60,"C","F"))))</f>
        <v>A+</v>
      </c>
      <c r="K568" t="str">
        <f>IF(Student_Data[[#This Row],[Marks]]&gt;=35,"Pass","Fail")</f>
        <v>Pass</v>
      </c>
    </row>
    <row r="569" spans="1:11" x14ac:dyDescent="0.3">
      <c r="A569" t="s">
        <v>690</v>
      </c>
      <c r="B569" t="s">
        <v>204</v>
      </c>
      <c r="C569" t="s">
        <v>25</v>
      </c>
      <c r="D569">
        <v>6</v>
      </c>
      <c r="E569" t="s">
        <v>12</v>
      </c>
      <c r="F569" t="s">
        <v>26</v>
      </c>
      <c r="G569">
        <v>73</v>
      </c>
      <c r="H569">
        <v>69</v>
      </c>
      <c r="I569" t="s">
        <v>49</v>
      </c>
      <c r="J569" t="str">
        <f>IF(Student_Data[[#This Row],[Marks]] &gt;= 90,"A+",IF(Student_Data[[#This Row],[Marks]]&gt;=80,"A",IF(Student_Data[[#This Row],[Marks]]&gt;=70,"B",IF(Student_Data[[#This Row],[Marks]]&gt;=60,"C","F"))))</f>
        <v>B</v>
      </c>
      <c r="K569" t="str">
        <f>IF(Student_Data[[#This Row],[Marks]]&gt;=35,"Pass","Fail")</f>
        <v>Pass</v>
      </c>
    </row>
    <row r="570" spans="1:11" x14ac:dyDescent="0.3">
      <c r="A570" t="s">
        <v>691</v>
      </c>
      <c r="B570" t="s">
        <v>100</v>
      </c>
      <c r="C570" t="s">
        <v>11</v>
      </c>
      <c r="D570">
        <v>6</v>
      </c>
      <c r="E570" t="s">
        <v>17</v>
      </c>
      <c r="F570" t="s">
        <v>13</v>
      </c>
      <c r="G570">
        <v>41</v>
      </c>
      <c r="H570">
        <v>73</v>
      </c>
      <c r="I570" t="s">
        <v>35</v>
      </c>
      <c r="J570" t="str">
        <f>IF(Student_Data[[#This Row],[Marks]] &gt;= 90,"A+",IF(Student_Data[[#This Row],[Marks]]&gt;=80,"A",IF(Student_Data[[#This Row],[Marks]]&gt;=70,"B",IF(Student_Data[[#This Row],[Marks]]&gt;=60,"C","F"))))</f>
        <v>F</v>
      </c>
      <c r="K570" t="str">
        <f>IF(Student_Data[[#This Row],[Marks]]&gt;=35,"Pass","Fail")</f>
        <v>Pass</v>
      </c>
    </row>
    <row r="571" spans="1:11" x14ac:dyDescent="0.3">
      <c r="A571" t="s">
        <v>692</v>
      </c>
      <c r="B571" t="s">
        <v>182</v>
      </c>
      <c r="C571" t="s">
        <v>25</v>
      </c>
      <c r="D571">
        <v>11</v>
      </c>
      <c r="E571" t="s">
        <v>33</v>
      </c>
      <c r="F571" t="s">
        <v>18</v>
      </c>
      <c r="G571">
        <v>91</v>
      </c>
      <c r="H571">
        <v>87</v>
      </c>
      <c r="I571" t="s">
        <v>35</v>
      </c>
      <c r="J571" t="str">
        <f>IF(Student_Data[[#This Row],[Marks]] &gt;= 90,"A+",IF(Student_Data[[#This Row],[Marks]]&gt;=80,"A",IF(Student_Data[[#This Row],[Marks]]&gt;=70,"B",IF(Student_Data[[#This Row],[Marks]]&gt;=60,"C","F"))))</f>
        <v>A+</v>
      </c>
      <c r="K571" t="str">
        <f>IF(Student_Data[[#This Row],[Marks]]&gt;=35,"Pass","Fail")</f>
        <v>Pass</v>
      </c>
    </row>
    <row r="572" spans="1:11" x14ac:dyDescent="0.3">
      <c r="A572" t="s">
        <v>693</v>
      </c>
      <c r="B572" t="s">
        <v>244</v>
      </c>
      <c r="C572" t="s">
        <v>25</v>
      </c>
      <c r="D572">
        <v>8</v>
      </c>
      <c r="E572" t="s">
        <v>33</v>
      </c>
      <c r="F572" t="s">
        <v>18</v>
      </c>
      <c r="G572">
        <v>91</v>
      </c>
      <c r="H572">
        <v>90</v>
      </c>
      <c r="I572" t="s">
        <v>35</v>
      </c>
      <c r="J572" t="str">
        <f>IF(Student_Data[[#This Row],[Marks]] &gt;= 90,"A+",IF(Student_Data[[#This Row],[Marks]]&gt;=80,"A",IF(Student_Data[[#This Row],[Marks]]&gt;=70,"B",IF(Student_Data[[#This Row],[Marks]]&gt;=60,"C","F"))))</f>
        <v>A+</v>
      </c>
      <c r="K572" t="str">
        <f>IF(Student_Data[[#This Row],[Marks]]&gt;=35,"Pass","Fail")</f>
        <v>Pass</v>
      </c>
    </row>
    <row r="573" spans="1:11" x14ac:dyDescent="0.3">
      <c r="A573" t="s">
        <v>694</v>
      </c>
      <c r="B573" t="s">
        <v>90</v>
      </c>
      <c r="C573" t="s">
        <v>25</v>
      </c>
      <c r="D573">
        <v>12</v>
      </c>
      <c r="E573" t="s">
        <v>33</v>
      </c>
      <c r="F573" t="s">
        <v>26</v>
      </c>
      <c r="G573">
        <v>53</v>
      </c>
      <c r="H573">
        <v>80</v>
      </c>
      <c r="I573" t="s">
        <v>46</v>
      </c>
      <c r="J573" t="str">
        <f>IF(Student_Data[[#This Row],[Marks]] &gt;= 90,"A+",IF(Student_Data[[#This Row],[Marks]]&gt;=80,"A",IF(Student_Data[[#This Row],[Marks]]&gt;=70,"B",IF(Student_Data[[#This Row],[Marks]]&gt;=60,"C","F"))))</f>
        <v>F</v>
      </c>
      <c r="K573" t="str">
        <f>IF(Student_Data[[#This Row],[Marks]]&gt;=35,"Pass","Fail")</f>
        <v>Pass</v>
      </c>
    </row>
    <row r="574" spans="1:11" x14ac:dyDescent="0.3">
      <c r="A574" t="s">
        <v>695</v>
      </c>
      <c r="B574" t="s">
        <v>232</v>
      </c>
      <c r="C574" t="s">
        <v>25</v>
      </c>
      <c r="D574">
        <v>10</v>
      </c>
      <c r="E574" t="s">
        <v>33</v>
      </c>
      <c r="F574" t="s">
        <v>13</v>
      </c>
      <c r="G574">
        <v>62</v>
      </c>
      <c r="H574">
        <v>87</v>
      </c>
      <c r="I574" t="s">
        <v>35</v>
      </c>
      <c r="J574" t="str">
        <f>IF(Student_Data[[#This Row],[Marks]] &gt;= 90,"A+",IF(Student_Data[[#This Row],[Marks]]&gt;=80,"A",IF(Student_Data[[#This Row],[Marks]]&gt;=70,"B",IF(Student_Data[[#This Row],[Marks]]&gt;=60,"C","F"))))</f>
        <v>C</v>
      </c>
      <c r="K574" t="str">
        <f>IF(Student_Data[[#This Row],[Marks]]&gt;=35,"Pass","Fail")</f>
        <v>Pass</v>
      </c>
    </row>
    <row r="575" spans="1:11" x14ac:dyDescent="0.3">
      <c r="A575" t="s">
        <v>696</v>
      </c>
      <c r="B575" t="s">
        <v>401</v>
      </c>
      <c r="C575" t="s">
        <v>25</v>
      </c>
      <c r="D575">
        <v>12</v>
      </c>
      <c r="E575" t="s">
        <v>33</v>
      </c>
      <c r="F575" t="s">
        <v>43</v>
      </c>
      <c r="G575">
        <v>41</v>
      </c>
      <c r="H575">
        <v>83</v>
      </c>
      <c r="I575" t="s">
        <v>31</v>
      </c>
      <c r="J575" t="str">
        <f>IF(Student_Data[[#This Row],[Marks]] &gt;= 90,"A+",IF(Student_Data[[#This Row],[Marks]]&gt;=80,"A",IF(Student_Data[[#This Row],[Marks]]&gt;=70,"B",IF(Student_Data[[#This Row],[Marks]]&gt;=60,"C","F"))))</f>
        <v>F</v>
      </c>
      <c r="K575" t="str">
        <f>IF(Student_Data[[#This Row],[Marks]]&gt;=35,"Pass","Fail")</f>
        <v>Pass</v>
      </c>
    </row>
    <row r="576" spans="1:11" x14ac:dyDescent="0.3">
      <c r="A576" t="s">
        <v>697</v>
      </c>
      <c r="B576" t="s">
        <v>423</v>
      </c>
      <c r="C576" t="s">
        <v>11</v>
      </c>
      <c r="D576">
        <v>10</v>
      </c>
      <c r="E576" t="s">
        <v>17</v>
      </c>
      <c r="F576" t="s">
        <v>22</v>
      </c>
      <c r="G576">
        <v>67</v>
      </c>
      <c r="H576">
        <v>61</v>
      </c>
      <c r="I576" t="s">
        <v>14</v>
      </c>
      <c r="J576" t="str">
        <f>IF(Student_Data[[#This Row],[Marks]] &gt;= 90,"A+",IF(Student_Data[[#This Row],[Marks]]&gt;=80,"A",IF(Student_Data[[#This Row],[Marks]]&gt;=70,"B",IF(Student_Data[[#This Row],[Marks]]&gt;=60,"C","F"))))</f>
        <v>C</v>
      </c>
      <c r="K576" t="str">
        <f>IF(Student_Data[[#This Row],[Marks]]&gt;=35,"Pass","Fail")</f>
        <v>Pass</v>
      </c>
    </row>
    <row r="577" spans="1:11" x14ac:dyDescent="0.3">
      <c r="A577" t="s">
        <v>698</v>
      </c>
      <c r="B577" t="s">
        <v>57</v>
      </c>
      <c r="C577" t="s">
        <v>25</v>
      </c>
      <c r="D577">
        <v>12</v>
      </c>
      <c r="E577" t="s">
        <v>12</v>
      </c>
      <c r="F577" t="s">
        <v>43</v>
      </c>
      <c r="G577">
        <v>36</v>
      </c>
      <c r="H577">
        <v>81</v>
      </c>
      <c r="I577" t="s">
        <v>46</v>
      </c>
      <c r="J577" t="str">
        <f>IF(Student_Data[[#This Row],[Marks]] &gt;= 90,"A+",IF(Student_Data[[#This Row],[Marks]]&gt;=80,"A",IF(Student_Data[[#This Row],[Marks]]&gt;=70,"B",IF(Student_Data[[#This Row],[Marks]]&gt;=60,"C","F"))))</f>
        <v>F</v>
      </c>
      <c r="K577" t="str">
        <f>IF(Student_Data[[#This Row],[Marks]]&gt;=35,"Pass","Fail")</f>
        <v>Pass</v>
      </c>
    </row>
    <row r="578" spans="1:11" x14ac:dyDescent="0.3">
      <c r="A578" t="s">
        <v>699</v>
      </c>
      <c r="B578" t="s">
        <v>66</v>
      </c>
      <c r="C578" t="s">
        <v>25</v>
      </c>
      <c r="D578">
        <v>10</v>
      </c>
      <c r="E578" t="s">
        <v>17</v>
      </c>
      <c r="F578" t="s">
        <v>34</v>
      </c>
      <c r="G578">
        <v>39</v>
      </c>
      <c r="H578">
        <v>100</v>
      </c>
      <c r="I578" t="s">
        <v>49</v>
      </c>
      <c r="J578" t="str">
        <f>IF(Student_Data[[#This Row],[Marks]] &gt;= 90,"A+",IF(Student_Data[[#This Row],[Marks]]&gt;=80,"A",IF(Student_Data[[#This Row],[Marks]]&gt;=70,"B",IF(Student_Data[[#This Row],[Marks]]&gt;=60,"C","F"))))</f>
        <v>F</v>
      </c>
      <c r="K578" t="str">
        <f>IF(Student_Data[[#This Row],[Marks]]&gt;=35,"Pass","Fail")</f>
        <v>Pass</v>
      </c>
    </row>
    <row r="579" spans="1:11" x14ac:dyDescent="0.3">
      <c r="A579" t="s">
        <v>700</v>
      </c>
      <c r="B579" t="s">
        <v>10</v>
      </c>
      <c r="C579" t="s">
        <v>25</v>
      </c>
      <c r="D579">
        <v>8</v>
      </c>
      <c r="E579" t="s">
        <v>12</v>
      </c>
      <c r="F579" t="s">
        <v>13</v>
      </c>
      <c r="G579">
        <v>90</v>
      </c>
      <c r="H579">
        <v>96</v>
      </c>
      <c r="I579" t="s">
        <v>31</v>
      </c>
      <c r="J579" t="str">
        <f>IF(Student_Data[[#This Row],[Marks]] &gt;= 90,"A+",IF(Student_Data[[#This Row],[Marks]]&gt;=80,"A",IF(Student_Data[[#This Row],[Marks]]&gt;=70,"B",IF(Student_Data[[#This Row],[Marks]]&gt;=60,"C","F"))))</f>
        <v>A+</v>
      </c>
      <c r="K579" t="str">
        <f>IF(Student_Data[[#This Row],[Marks]]&gt;=35,"Pass","Fail")</f>
        <v>Pass</v>
      </c>
    </row>
    <row r="580" spans="1:11" x14ac:dyDescent="0.3">
      <c r="A580" t="s">
        <v>701</v>
      </c>
      <c r="B580" t="s">
        <v>42</v>
      </c>
      <c r="C580" t="s">
        <v>25</v>
      </c>
      <c r="D580">
        <v>8</v>
      </c>
      <c r="E580" t="s">
        <v>33</v>
      </c>
      <c r="F580" t="s">
        <v>43</v>
      </c>
      <c r="G580">
        <v>72</v>
      </c>
      <c r="H580">
        <v>90</v>
      </c>
      <c r="I580" t="s">
        <v>40</v>
      </c>
      <c r="J580" t="str">
        <f>IF(Student_Data[[#This Row],[Marks]] &gt;= 90,"A+",IF(Student_Data[[#This Row],[Marks]]&gt;=80,"A",IF(Student_Data[[#This Row],[Marks]]&gt;=70,"B",IF(Student_Data[[#This Row],[Marks]]&gt;=60,"C","F"))))</f>
        <v>B</v>
      </c>
      <c r="K580" t="str">
        <f>IF(Student_Data[[#This Row],[Marks]]&gt;=35,"Pass","Fail")</f>
        <v>Pass</v>
      </c>
    </row>
    <row r="581" spans="1:11" x14ac:dyDescent="0.3">
      <c r="A581" t="s">
        <v>702</v>
      </c>
      <c r="B581" t="s">
        <v>268</v>
      </c>
      <c r="C581" t="s">
        <v>11</v>
      </c>
      <c r="D581">
        <v>8</v>
      </c>
      <c r="E581" t="s">
        <v>17</v>
      </c>
      <c r="F581" t="s">
        <v>18</v>
      </c>
      <c r="G581">
        <v>57</v>
      </c>
      <c r="H581">
        <v>71</v>
      </c>
      <c r="I581" t="s">
        <v>40</v>
      </c>
      <c r="J581" t="str">
        <f>IF(Student_Data[[#This Row],[Marks]] &gt;= 90,"A+",IF(Student_Data[[#This Row],[Marks]]&gt;=80,"A",IF(Student_Data[[#This Row],[Marks]]&gt;=70,"B",IF(Student_Data[[#This Row],[Marks]]&gt;=60,"C","F"))))</f>
        <v>F</v>
      </c>
      <c r="K581" t="str">
        <f>IF(Student_Data[[#This Row],[Marks]]&gt;=35,"Pass","Fail")</f>
        <v>Pass</v>
      </c>
    </row>
    <row r="582" spans="1:11" x14ac:dyDescent="0.3">
      <c r="A582" t="s">
        <v>703</v>
      </c>
      <c r="B582" t="s">
        <v>380</v>
      </c>
      <c r="C582" t="s">
        <v>25</v>
      </c>
      <c r="D582">
        <v>12</v>
      </c>
      <c r="E582" t="s">
        <v>12</v>
      </c>
      <c r="F582" t="s">
        <v>34</v>
      </c>
      <c r="G582">
        <v>39</v>
      </c>
      <c r="H582">
        <v>68</v>
      </c>
      <c r="I582" t="s">
        <v>35</v>
      </c>
      <c r="J582" t="str">
        <f>IF(Student_Data[[#This Row],[Marks]] &gt;= 90,"A+",IF(Student_Data[[#This Row],[Marks]]&gt;=80,"A",IF(Student_Data[[#This Row],[Marks]]&gt;=70,"B",IF(Student_Data[[#This Row],[Marks]]&gt;=60,"C","F"))))</f>
        <v>F</v>
      </c>
      <c r="K582" t="str">
        <f>IF(Student_Data[[#This Row],[Marks]]&gt;=35,"Pass","Fail")</f>
        <v>Pass</v>
      </c>
    </row>
    <row r="583" spans="1:11" x14ac:dyDescent="0.3">
      <c r="A583" t="s">
        <v>704</v>
      </c>
      <c r="B583" t="s">
        <v>21</v>
      </c>
      <c r="C583" t="s">
        <v>25</v>
      </c>
      <c r="D583">
        <v>11</v>
      </c>
      <c r="E583" t="s">
        <v>33</v>
      </c>
      <c r="F583" t="s">
        <v>18</v>
      </c>
      <c r="G583">
        <v>66</v>
      </c>
      <c r="H583">
        <v>84</v>
      </c>
      <c r="I583" t="s">
        <v>19</v>
      </c>
      <c r="J583" t="str">
        <f>IF(Student_Data[[#This Row],[Marks]] &gt;= 90,"A+",IF(Student_Data[[#This Row],[Marks]]&gt;=80,"A",IF(Student_Data[[#This Row],[Marks]]&gt;=70,"B",IF(Student_Data[[#This Row],[Marks]]&gt;=60,"C","F"))))</f>
        <v>C</v>
      </c>
      <c r="K583" t="str">
        <f>IF(Student_Data[[#This Row],[Marks]]&gt;=35,"Pass","Fail")</f>
        <v>Pass</v>
      </c>
    </row>
    <row r="584" spans="1:11" x14ac:dyDescent="0.3">
      <c r="A584" t="s">
        <v>705</v>
      </c>
      <c r="B584" t="s">
        <v>28</v>
      </c>
      <c r="C584" t="s">
        <v>25</v>
      </c>
      <c r="D584">
        <v>12</v>
      </c>
      <c r="E584" t="s">
        <v>17</v>
      </c>
      <c r="F584" t="s">
        <v>13</v>
      </c>
      <c r="G584">
        <v>54</v>
      </c>
      <c r="H584">
        <v>93</v>
      </c>
      <c r="I584" t="s">
        <v>31</v>
      </c>
      <c r="J584" t="str">
        <f>IF(Student_Data[[#This Row],[Marks]] &gt;= 90,"A+",IF(Student_Data[[#This Row],[Marks]]&gt;=80,"A",IF(Student_Data[[#This Row],[Marks]]&gt;=70,"B",IF(Student_Data[[#This Row],[Marks]]&gt;=60,"C","F"))))</f>
        <v>F</v>
      </c>
      <c r="K584" t="str">
        <f>IF(Student_Data[[#This Row],[Marks]]&gt;=35,"Pass","Fail")</f>
        <v>Pass</v>
      </c>
    </row>
    <row r="585" spans="1:11" x14ac:dyDescent="0.3">
      <c r="A585" t="s">
        <v>706</v>
      </c>
      <c r="B585" t="s">
        <v>112</v>
      </c>
      <c r="C585" t="s">
        <v>11</v>
      </c>
      <c r="D585">
        <v>6</v>
      </c>
      <c r="E585" t="s">
        <v>33</v>
      </c>
      <c r="F585" t="s">
        <v>18</v>
      </c>
      <c r="G585">
        <v>55</v>
      </c>
      <c r="H585">
        <v>69</v>
      </c>
      <c r="I585" t="s">
        <v>31</v>
      </c>
      <c r="J585" t="str">
        <f>IF(Student_Data[[#This Row],[Marks]] &gt;= 90,"A+",IF(Student_Data[[#This Row],[Marks]]&gt;=80,"A",IF(Student_Data[[#This Row],[Marks]]&gt;=70,"B",IF(Student_Data[[#This Row],[Marks]]&gt;=60,"C","F"))))</f>
        <v>F</v>
      </c>
      <c r="K585" t="str">
        <f>IF(Student_Data[[#This Row],[Marks]]&gt;=35,"Pass","Fail")</f>
        <v>Pass</v>
      </c>
    </row>
    <row r="586" spans="1:11" x14ac:dyDescent="0.3">
      <c r="A586" t="s">
        <v>707</v>
      </c>
      <c r="B586" t="s">
        <v>457</v>
      </c>
      <c r="C586" t="s">
        <v>11</v>
      </c>
      <c r="D586">
        <v>8</v>
      </c>
      <c r="E586" t="s">
        <v>12</v>
      </c>
      <c r="F586" t="s">
        <v>18</v>
      </c>
      <c r="G586">
        <v>85</v>
      </c>
      <c r="H586">
        <v>75</v>
      </c>
      <c r="I586" t="s">
        <v>46</v>
      </c>
      <c r="J586" t="str">
        <f>IF(Student_Data[[#This Row],[Marks]] &gt;= 90,"A+",IF(Student_Data[[#This Row],[Marks]]&gt;=80,"A",IF(Student_Data[[#This Row],[Marks]]&gt;=70,"B",IF(Student_Data[[#This Row],[Marks]]&gt;=60,"C","F"))))</f>
        <v>A</v>
      </c>
      <c r="K586" t="str">
        <f>IF(Student_Data[[#This Row],[Marks]]&gt;=35,"Pass","Fail")</f>
        <v>Pass</v>
      </c>
    </row>
    <row r="587" spans="1:11" x14ac:dyDescent="0.3">
      <c r="A587" t="s">
        <v>708</v>
      </c>
      <c r="B587" t="s">
        <v>285</v>
      </c>
      <c r="C587" t="s">
        <v>11</v>
      </c>
      <c r="D587">
        <v>9</v>
      </c>
      <c r="E587" t="s">
        <v>33</v>
      </c>
      <c r="F587" t="s">
        <v>18</v>
      </c>
      <c r="G587">
        <v>67</v>
      </c>
      <c r="H587">
        <v>85</v>
      </c>
      <c r="I587" t="s">
        <v>35</v>
      </c>
      <c r="J587" t="str">
        <f>IF(Student_Data[[#This Row],[Marks]] &gt;= 90,"A+",IF(Student_Data[[#This Row],[Marks]]&gt;=80,"A",IF(Student_Data[[#This Row],[Marks]]&gt;=70,"B",IF(Student_Data[[#This Row],[Marks]]&gt;=60,"C","F"))))</f>
        <v>C</v>
      </c>
      <c r="K587" t="str">
        <f>IF(Student_Data[[#This Row],[Marks]]&gt;=35,"Pass","Fail")</f>
        <v>Pass</v>
      </c>
    </row>
    <row r="588" spans="1:11" x14ac:dyDescent="0.3">
      <c r="A588" t="s">
        <v>709</v>
      </c>
      <c r="B588" t="s">
        <v>228</v>
      </c>
      <c r="C588" t="s">
        <v>25</v>
      </c>
      <c r="D588">
        <v>8</v>
      </c>
      <c r="E588" t="s">
        <v>12</v>
      </c>
      <c r="F588" t="s">
        <v>13</v>
      </c>
      <c r="G588">
        <v>53</v>
      </c>
      <c r="H588">
        <v>95</v>
      </c>
      <c r="I588" t="s">
        <v>49</v>
      </c>
      <c r="J588" t="str">
        <f>IF(Student_Data[[#This Row],[Marks]] &gt;= 90,"A+",IF(Student_Data[[#This Row],[Marks]]&gt;=80,"A",IF(Student_Data[[#This Row],[Marks]]&gt;=70,"B",IF(Student_Data[[#This Row],[Marks]]&gt;=60,"C","F"))))</f>
        <v>F</v>
      </c>
      <c r="K588" t="str">
        <f>IF(Student_Data[[#This Row],[Marks]]&gt;=35,"Pass","Fail")</f>
        <v>Pass</v>
      </c>
    </row>
    <row r="589" spans="1:11" x14ac:dyDescent="0.3">
      <c r="A589" t="s">
        <v>710</v>
      </c>
      <c r="B589" t="s">
        <v>370</v>
      </c>
      <c r="C589" t="s">
        <v>11</v>
      </c>
      <c r="D589">
        <v>10</v>
      </c>
      <c r="E589" t="s">
        <v>33</v>
      </c>
      <c r="F589" t="s">
        <v>22</v>
      </c>
      <c r="G589">
        <v>63</v>
      </c>
      <c r="H589">
        <v>71</v>
      </c>
      <c r="I589" t="s">
        <v>19</v>
      </c>
      <c r="J589" t="str">
        <f>IF(Student_Data[[#This Row],[Marks]] &gt;= 90,"A+",IF(Student_Data[[#This Row],[Marks]]&gt;=80,"A",IF(Student_Data[[#This Row],[Marks]]&gt;=70,"B",IF(Student_Data[[#This Row],[Marks]]&gt;=60,"C","F"))))</f>
        <v>C</v>
      </c>
      <c r="K589" t="str">
        <f>IF(Student_Data[[#This Row],[Marks]]&gt;=35,"Pass","Fail")</f>
        <v>Pass</v>
      </c>
    </row>
    <row r="590" spans="1:11" x14ac:dyDescent="0.3">
      <c r="A590" t="s">
        <v>711</v>
      </c>
      <c r="B590" t="s">
        <v>224</v>
      </c>
      <c r="C590" t="s">
        <v>11</v>
      </c>
      <c r="D590">
        <v>8</v>
      </c>
      <c r="E590" t="s">
        <v>12</v>
      </c>
      <c r="F590" t="s">
        <v>13</v>
      </c>
      <c r="G590">
        <v>81</v>
      </c>
      <c r="H590">
        <v>80</v>
      </c>
      <c r="I590" t="s">
        <v>49</v>
      </c>
      <c r="J590" t="str">
        <f>IF(Student_Data[[#This Row],[Marks]] &gt;= 90,"A+",IF(Student_Data[[#This Row],[Marks]]&gt;=80,"A",IF(Student_Data[[#This Row],[Marks]]&gt;=70,"B",IF(Student_Data[[#This Row],[Marks]]&gt;=60,"C","F"))))</f>
        <v>A</v>
      </c>
      <c r="K590" t="str">
        <f>IF(Student_Data[[#This Row],[Marks]]&gt;=35,"Pass","Fail")</f>
        <v>Pass</v>
      </c>
    </row>
    <row r="591" spans="1:11" x14ac:dyDescent="0.3">
      <c r="A591" t="s">
        <v>712</v>
      </c>
      <c r="B591" t="s">
        <v>107</v>
      </c>
      <c r="C591" t="s">
        <v>25</v>
      </c>
      <c r="D591">
        <v>8</v>
      </c>
      <c r="E591" t="s">
        <v>33</v>
      </c>
      <c r="F591" t="s">
        <v>13</v>
      </c>
      <c r="G591">
        <v>37</v>
      </c>
      <c r="H591">
        <v>79</v>
      </c>
      <c r="I591" t="s">
        <v>46</v>
      </c>
      <c r="J591" t="str">
        <f>IF(Student_Data[[#This Row],[Marks]] &gt;= 90,"A+",IF(Student_Data[[#This Row],[Marks]]&gt;=80,"A",IF(Student_Data[[#This Row],[Marks]]&gt;=70,"B",IF(Student_Data[[#This Row],[Marks]]&gt;=60,"C","F"))))</f>
        <v>F</v>
      </c>
      <c r="K591" t="str">
        <f>IF(Student_Data[[#This Row],[Marks]]&gt;=35,"Pass","Fail")</f>
        <v>Pass</v>
      </c>
    </row>
    <row r="592" spans="1:11" x14ac:dyDescent="0.3">
      <c r="A592" t="s">
        <v>713</v>
      </c>
      <c r="B592" t="s">
        <v>455</v>
      </c>
      <c r="C592" t="s">
        <v>25</v>
      </c>
      <c r="D592">
        <v>12</v>
      </c>
      <c r="E592" t="s">
        <v>33</v>
      </c>
      <c r="F592" t="s">
        <v>22</v>
      </c>
      <c r="G592">
        <v>61</v>
      </c>
      <c r="H592">
        <v>62</v>
      </c>
      <c r="I592" t="s">
        <v>46</v>
      </c>
      <c r="J592" t="str">
        <f>IF(Student_Data[[#This Row],[Marks]] &gt;= 90,"A+",IF(Student_Data[[#This Row],[Marks]]&gt;=80,"A",IF(Student_Data[[#This Row],[Marks]]&gt;=70,"B",IF(Student_Data[[#This Row],[Marks]]&gt;=60,"C","F"))))</f>
        <v>C</v>
      </c>
      <c r="K592" t="str">
        <f>IF(Student_Data[[#This Row],[Marks]]&gt;=35,"Pass","Fail")</f>
        <v>Pass</v>
      </c>
    </row>
    <row r="593" spans="1:11" x14ac:dyDescent="0.3">
      <c r="A593" t="s">
        <v>714</v>
      </c>
      <c r="B593" t="s">
        <v>195</v>
      </c>
      <c r="C593" t="s">
        <v>25</v>
      </c>
      <c r="D593">
        <v>8</v>
      </c>
      <c r="E593" t="s">
        <v>33</v>
      </c>
      <c r="F593" t="s">
        <v>43</v>
      </c>
      <c r="G593">
        <v>67</v>
      </c>
      <c r="H593">
        <v>98</v>
      </c>
      <c r="I593" t="s">
        <v>46</v>
      </c>
      <c r="J593" t="str">
        <f>IF(Student_Data[[#This Row],[Marks]] &gt;= 90,"A+",IF(Student_Data[[#This Row],[Marks]]&gt;=80,"A",IF(Student_Data[[#This Row],[Marks]]&gt;=70,"B",IF(Student_Data[[#This Row],[Marks]]&gt;=60,"C","F"))))</f>
        <v>C</v>
      </c>
      <c r="K593" t="str">
        <f>IF(Student_Data[[#This Row],[Marks]]&gt;=35,"Pass","Fail")</f>
        <v>Pass</v>
      </c>
    </row>
    <row r="594" spans="1:11" x14ac:dyDescent="0.3">
      <c r="A594" t="s">
        <v>715</v>
      </c>
      <c r="B594" t="s">
        <v>114</v>
      </c>
      <c r="C594" t="s">
        <v>25</v>
      </c>
      <c r="D594">
        <v>6</v>
      </c>
      <c r="E594" t="s">
        <v>12</v>
      </c>
      <c r="F594" t="s">
        <v>22</v>
      </c>
      <c r="G594">
        <v>83</v>
      </c>
      <c r="H594">
        <v>99</v>
      </c>
      <c r="I594" t="s">
        <v>31</v>
      </c>
      <c r="J594" t="str">
        <f>IF(Student_Data[[#This Row],[Marks]] &gt;= 90,"A+",IF(Student_Data[[#This Row],[Marks]]&gt;=80,"A",IF(Student_Data[[#This Row],[Marks]]&gt;=70,"B",IF(Student_Data[[#This Row],[Marks]]&gt;=60,"C","F"))))</f>
        <v>A</v>
      </c>
      <c r="K594" t="str">
        <f>IF(Student_Data[[#This Row],[Marks]]&gt;=35,"Pass","Fail")</f>
        <v>Pass</v>
      </c>
    </row>
    <row r="595" spans="1:11" x14ac:dyDescent="0.3">
      <c r="A595" t="s">
        <v>716</v>
      </c>
      <c r="B595" t="s">
        <v>141</v>
      </c>
      <c r="C595" t="s">
        <v>25</v>
      </c>
      <c r="D595">
        <v>7</v>
      </c>
      <c r="E595" t="s">
        <v>33</v>
      </c>
      <c r="F595" t="s">
        <v>18</v>
      </c>
      <c r="G595">
        <v>53</v>
      </c>
      <c r="H595">
        <v>70</v>
      </c>
      <c r="I595" t="s">
        <v>31</v>
      </c>
      <c r="J595" t="str">
        <f>IF(Student_Data[[#This Row],[Marks]] &gt;= 90,"A+",IF(Student_Data[[#This Row],[Marks]]&gt;=80,"A",IF(Student_Data[[#This Row],[Marks]]&gt;=70,"B",IF(Student_Data[[#This Row],[Marks]]&gt;=60,"C","F"))))</f>
        <v>F</v>
      </c>
      <c r="K595" t="str">
        <f>IF(Student_Data[[#This Row],[Marks]]&gt;=35,"Pass","Fail")</f>
        <v>Pass</v>
      </c>
    </row>
    <row r="596" spans="1:11" x14ac:dyDescent="0.3">
      <c r="A596" t="s">
        <v>717</v>
      </c>
      <c r="B596" t="s">
        <v>242</v>
      </c>
      <c r="C596" t="s">
        <v>25</v>
      </c>
      <c r="D596">
        <v>8</v>
      </c>
      <c r="E596" t="s">
        <v>17</v>
      </c>
      <c r="F596" t="s">
        <v>43</v>
      </c>
      <c r="G596">
        <v>87</v>
      </c>
      <c r="H596">
        <v>97</v>
      </c>
      <c r="I596" t="s">
        <v>35</v>
      </c>
      <c r="J596" t="str">
        <f>IF(Student_Data[[#This Row],[Marks]] &gt;= 90,"A+",IF(Student_Data[[#This Row],[Marks]]&gt;=80,"A",IF(Student_Data[[#This Row],[Marks]]&gt;=70,"B",IF(Student_Data[[#This Row],[Marks]]&gt;=60,"C","F"))))</f>
        <v>A</v>
      </c>
      <c r="K596" t="str">
        <f>IF(Student_Data[[#This Row],[Marks]]&gt;=35,"Pass","Fail")</f>
        <v>Pass</v>
      </c>
    </row>
    <row r="597" spans="1:11" x14ac:dyDescent="0.3">
      <c r="A597" t="s">
        <v>718</v>
      </c>
      <c r="B597" t="s">
        <v>214</v>
      </c>
      <c r="C597" t="s">
        <v>25</v>
      </c>
      <c r="D597">
        <v>12</v>
      </c>
      <c r="E597" t="s">
        <v>17</v>
      </c>
      <c r="F597" t="s">
        <v>34</v>
      </c>
      <c r="G597">
        <v>56</v>
      </c>
      <c r="H597">
        <v>96</v>
      </c>
      <c r="I597" t="s">
        <v>14</v>
      </c>
      <c r="J597" t="str">
        <f>IF(Student_Data[[#This Row],[Marks]] &gt;= 90,"A+",IF(Student_Data[[#This Row],[Marks]]&gt;=80,"A",IF(Student_Data[[#This Row],[Marks]]&gt;=70,"B",IF(Student_Data[[#This Row],[Marks]]&gt;=60,"C","F"))))</f>
        <v>F</v>
      </c>
      <c r="K597" t="str">
        <f>IF(Student_Data[[#This Row],[Marks]]&gt;=35,"Pass","Fail")</f>
        <v>Pass</v>
      </c>
    </row>
    <row r="598" spans="1:11" x14ac:dyDescent="0.3">
      <c r="A598" t="s">
        <v>719</v>
      </c>
      <c r="B598" t="s">
        <v>457</v>
      </c>
      <c r="C598" t="s">
        <v>11</v>
      </c>
      <c r="D598">
        <v>11</v>
      </c>
      <c r="E598" t="s">
        <v>17</v>
      </c>
      <c r="F598" t="s">
        <v>18</v>
      </c>
      <c r="G598">
        <v>86</v>
      </c>
      <c r="H598">
        <v>75</v>
      </c>
      <c r="I598" t="s">
        <v>49</v>
      </c>
      <c r="J598" t="str">
        <f>IF(Student_Data[[#This Row],[Marks]] &gt;= 90,"A+",IF(Student_Data[[#This Row],[Marks]]&gt;=80,"A",IF(Student_Data[[#This Row],[Marks]]&gt;=70,"B",IF(Student_Data[[#This Row],[Marks]]&gt;=60,"C","F"))))</f>
        <v>A</v>
      </c>
      <c r="K598" t="str">
        <f>IF(Student_Data[[#This Row],[Marks]]&gt;=35,"Pass","Fail")</f>
        <v>Pass</v>
      </c>
    </row>
    <row r="599" spans="1:11" x14ac:dyDescent="0.3">
      <c r="A599" t="s">
        <v>720</v>
      </c>
      <c r="B599" t="s">
        <v>236</v>
      </c>
      <c r="C599" t="s">
        <v>11</v>
      </c>
      <c r="D599">
        <v>8</v>
      </c>
      <c r="E599" t="s">
        <v>12</v>
      </c>
      <c r="F599" t="s">
        <v>22</v>
      </c>
      <c r="G599">
        <v>71</v>
      </c>
      <c r="H599">
        <v>74</v>
      </c>
      <c r="I599" t="s">
        <v>35</v>
      </c>
      <c r="J599" t="str">
        <f>IF(Student_Data[[#This Row],[Marks]] &gt;= 90,"A+",IF(Student_Data[[#This Row],[Marks]]&gt;=80,"A",IF(Student_Data[[#This Row],[Marks]]&gt;=70,"B",IF(Student_Data[[#This Row],[Marks]]&gt;=60,"C","F"))))</f>
        <v>B</v>
      </c>
      <c r="K599" t="str">
        <f>IF(Student_Data[[#This Row],[Marks]]&gt;=35,"Pass","Fail")</f>
        <v>Pass</v>
      </c>
    </row>
    <row r="600" spans="1:11" x14ac:dyDescent="0.3">
      <c r="A600" t="s">
        <v>721</v>
      </c>
      <c r="B600" t="s">
        <v>104</v>
      </c>
      <c r="C600" t="s">
        <v>11</v>
      </c>
      <c r="D600">
        <v>7</v>
      </c>
      <c r="E600" t="s">
        <v>12</v>
      </c>
      <c r="F600" t="s">
        <v>26</v>
      </c>
      <c r="G600">
        <v>39</v>
      </c>
      <c r="H600">
        <v>89</v>
      </c>
      <c r="I600" t="s">
        <v>49</v>
      </c>
      <c r="J600" t="str">
        <f>IF(Student_Data[[#This Row],[Marks]] &gt;= 90,"A+",IF(Student_Data[[#This Row],[Marks]]&gt;=80,"A",IF(Student_Data[[#This Row],[Marks]]&gt;=70,"B",IF(Student_Data[[#This Row],[Marks]]&gt;=60,"C","F"))))</f>
        <v>F</v>
      </c>
      <c r="K600" t="str">
        <f>IF(Student_Data[[#This Row],[Marks]]&gt;=35,"Pass","Fail")</f>
        <v>Pass</v>
      </c>
    </row>
    <row r="601" spans="1:11" x14ac:dyDescent="0.3">
      <c r="A601" t="s">
        <v>722</v>
      </c>
      <c r="B601" t="s">
        <v>182</v>
      </c>
      <c r="C601" t="s">
        <v>25</v>
      </c>
      <c r="D601">
        <v>6</v>
      </c>
      <c r="E601" t="s">
        <v>33</v>
      </c>
      <c r="F601" t="s">
        <v>43</v>
      </c>
      <c r="G601">
        <v>44</v>
      </c>
      <c r="H601">
        <v>78</v>
      </c>
      <c r="I601" t="s">
        <v>49</v>
      </c>
      <c r="J601" t="str">
        <f>IF(Student_Data[[#This Row],[Marks]] &gt;= 90,"A+",IF(Student_Data[[#This Row],[Marks]]&gt;=80,"A",IF(Student_Data[[#This Row],[Marks]]&gt;=70,"B",IF(Student_Data[[#This Row],[Marks]]&gt;=60,"C","F"))))</f>
        <v>F</v>
      </c>
      <c r="K601" t="str">
        <f>IF(Student_Data[[#This Row],[Marks]]&gt;=35,"Pass","Fail")</f>
        <v>Pass</v>
      </c>
    </row>
    <row r="602" spans="1:11" x14ac:dyDescent="0.3">
      <c r="A602" t="s">
        <v>723</v>
      </c>
      <c r="B602" t="s">
        <v>230</v>
      </c>
      <c r="C602" t="s">
        <v>25</v>
      </c>
      <c r="D602">
        <v>9</v>
      </c>
      <c r="E602" t="s">
        <v>12</v>
      </c>
      <c r="F602" t="s">
        <v>13</v>
      </c>
      <c r="G602">
        <v>77</v>
      </c>
      <c r="H602">
        <v>73</v>
      </c>
      <c r="I602" t="s">
        <v>14</v>
      </c>
      <c r="J602" t="str">
        <f>IF(Student_Data[[#This Row],[Marks]] &gt;= 90,"A+",IF(Student_Data[[#This Row],[Marks]]&gt;=80,"A",IF(Student_Data[[#This Row],[Marks]]&gt;=70,"B",IF(Student_Data[[#This Row],[Marks]]&gt;=60,"C","F"))))</f>
        <v>B</v>
      </c>
      <c r="K602" t="str">
        <f>IF(Student_Data[[#This Row],[Marks]]&gt;=35,"Pass","Fail")</f>
        <v>Pass</v>
      </c>
    </row>
    <row r="603" spans="1:11" x14ac:dyDescent="0.3">
      <c r="A603" t="s">
        <v>724</v>
      </c>
      <c r="B603" t="s">
        <v>168</v>
      </c>
      <c r="C603" t="s">
        <v>25</v>
      </c>
      <c r="D603">
        <v>6</v>
      </c>
      <c r="E603" t="s">
        <v>12</v>
      </c>
      <c r="F603" t="s">
        <v>22</v>
      </c>
      <c r="G603">
        <v>38</v>
      </c>
      <c r="H603">
        <v>87</v>
      </c>
      <c r="I603" t="s">
        <v>35</v>
      </c>
      <c r="J603" t="str">
        <f>IF(Student_Data[[#This Row],[Marks]] &gt;= 90,"A+",IF(Student_Data[[#This Row],[Marks]]&gt;=80,"A",IF(Student_Data[[#This Row],[Marks]]&gt;=70,"B",IF(Student_Data[[#This Row],[Marks]]&gt;=60,"C","F"))))</f>
        <v>F</v>
      </c>
      <c r="K603" t="str">
        <f>IF(Student_Data[[#This Row],[Marks]]&gt;=35,"Pass","Fail")</f>
        <v>Pass</v>
      </c>
    </row>
    <row r="604" spans="1:11" x14ac:dyDescent="0.3">
      <c r="A604" t="s">
        <v>725</v>
      </c>
      <c r="B604" t="s">
        <v>143</v>
      </c>
      <c r="C604" t="s">
        <v>11</v>
      </c>
      <c r="D604">
        <v>12</v>
      </c>
      <c r="E604" t="s">
        <v>17</v>
      </c>
      <c r="F604" t="s">
        <v>22</v>
      </c>
      <c r="G604">
        <v>52</v>
      </c>
      <c r="H604">
        <v>100</v>
      </c>
      <c r="I604" t="s">
        <v>49</v>
      </c>
      <c r="J604" t="str">
        <f>IF(Student_Data[[#This Row],[Marks]] &gt;= 90,"A+",IF(Student_Data[[#This Row],[Marks]]&gt;=80,"A",IF(Student_Data[[#This Row],[Marks]]&gt;=70,"B",IF(Student_Data[[#This Row],[Marks]]&gt;=60,"C","F"))))</f>
        <v>F</v>
      </c>
      <c r="K604" t="str">
        <f>IF(Student_Data[[#This Row],[Marks]]&gt;=35,"Pass","Fail")</f>
        <v>Pass</v>
      </c>
    </row>
    <row r="605" spans="1:11" x14ac:dyDescent="0.3">
      <c r="A605" t="s">
        <v>726</v>
      </c>
      <c r="B605" t="s">
        <v>109</v>
      </c>
      <c r="C605" t="s">
        <v>11</v>
      </c>
      <c r="D605">
        <v>12</v>
      </c>
      <c r="E605" t="s">
        <v>33</v>
      </c>
      <c r="F605" t="s">
        <v>43</v>
      </c>
      <c r="G605">
        <v>69</v>
      </c>
      <c r="H605">
        <v>87</v>
      </c>
      <c r="I605" t="s">
        <v>46</v>
      </c>
      <c r="J605" t="str">
        <f>IF(Student_Data[[#This Row],[Marks]] &gt;= 90,"A+",IF(Student_Data[[#This Row],[Marks]]&gt;=80,"A",IF(Student_Data[[#This Row],[Marks]]&gt;=70,"B",IF(Student_Data[[#This Row],[Marks]]&gt;=60,"C","F"))))</f>
        <v>C</v>
      </c>
      <c r="K605" t="str">
        <f>IF(Student_Data[[#This Row],[Marks]]&gt;=35,"Pass","Fail")</f>
        <v>Pass</v>
      </c>
    </row>
    <row r="606" spans="1:11" x14ac:dyDescent="0.3">
      <c r="A606" t="s">
        <v>727</v>
      </c>
      <c r="B606" t="s">
        <v>383</v>
      </c>
      <c r="C606" t="s">
        <v>11</v>
      </c>
      <c r="D606">
        <v>7</v>
      </c>
      <c r="E606" t="s">
        <v>33</v>
      </c>
      <c r="F606" t="s">
        <v>26</v>
      </c>
      <c r="G606">
        <v>86</v>
      </c>
      <c r="H606">
        <v>83</v>
      </c>
      <c r="I606" t="s">
        <v>31</v>
      </c>
      <c r="J606" t="str">
        <f>IF(Student_Data[[#This Row],[Marks]] &gt;= 90,"A+",IF(Student_Data[[#This Row],[Marks]]&gt;=80,"A",IF(Student_Data[[#This Row],[Marks]]&gt;=70,"B",IF(Student_Data[[#This Row],[Marks]]&gt;=60,"C","F"))))</f>
        <v>A</v>
      </c>
      <c r="K606" t="str">
        <f>IF(Student_Data[[#This Row],[Marks]]&gt;=35,"Pass","Fail")</f>
        <v>Pass</v>
      </c>
    </row>
    <row r="607" spans="1:11" x14ac:dyDescent="0.3">
      <c r="A607" t="s">
        <v>728</v>
      </c>
      <c r="B607" t="s">
        <v>39</v>
      </c>
      <c r="C607" t="s">
        <v>25</v>
      </c>
      <c r="D607">
        <v>10</v>
      </c>
      <c r="E607" t="s">
        <v>17</v>
      </c>
      <c r="F607" t="s">
        <v>13</v>
      </c>
      <c r="G607">
        <v>67</v>
      </c>
      <c r="H607">
        <v>100</v>
      </c>
      <c r="I607" t="s">
        <v>46</v>
      </c>
      <c r="J607" t="str">
        <f>IF(Student_Data[[#This Row],[Marks]] &gt;= 90,"A+",IF(Student_Data[[#This Row],[Marks]]&gt;=80,"A",IF(Student_Data[[#This Row],[Marks]]&gt;=70,"B",IF(Student_Data[[#This Row],[Marks]]&gt;=60,"C","F"))))</f>
        <v>C</v>
      </c>
      <c r="K607" t="str">
        <f>IF(Student_Data[[#This Row],[Marks]]&gt;=35,"Pass","Fail")</f>
        <v>Pass</v>
      </c>
    </row>
    <row r="608" spans="1:11" x14ac:dyDescent="0.3">
      <c r="A608" t="s">
        <v>729</v>
      </c>
      <c r="B608" t="s">
        <v>84</v>
      </c>
      <c r="C608" t="s">
        <v>25</v>
      </c>
      <c r="D608">
        <v>11</v>
      </c>
      <c r="E608" t="s">
        <v>12</v>
      </c>
      <c r="F608" t="s">
        <v>18</v>
      </c>
      <c r="G608">
        <v>39</v>
      </c>
      <c r="H608">
        <v>73</v>
      </c>
      <c r="I608" t="s">
        <v>46</v>
      </c>
      <c r="J608" t="str">
        <f>IF(Student_Data[[#This Row],[Marks]] &gt;= 90,"A+",IF(Student_Data[[#This Row],[Marks]]&gt;=80,"A",IF(Student_Data[[#This Row],[Marks]]&gt;=70,"B",IF(Student_Data[[#This Row],[Marks]]&gt;=60,"C","F"))))</f>
        <v>F</v>
      </c>
      <c r="K608" t="str">
        <f>IF(Student_Data[[#This Row],[Marks]]&gt;=35,"Pass","Fail")</f>
        <v>Pass</v>
      </c>
    </row>
    <row r="609" spans="1:11" x14ac:dyDescent="0.3">
      <c r="A609" t="s">
        <v>730</v>
      </c>
      <c r="B609" t="s">
        <v>129</v>
      </c>
      <c r="C609" t="s">
        <v>25</v>
      </c>
      <c r="D609">
        <v>11</v>
      </c>
      <c r="E609" t="s">
        <v>17</v>
      </c>
      <c r="F609" t="s">
        <v>22</v>
      </c>
      <c r="G609">
        <v>56</v>
      </c>
      <c r="H609">
        <v>87</v>
      </c>
      <c r="I609" t="s">
        <v>14</v>
      </c>
      <c r="J609" t="str">
        <f>IF(Student_Data[[#This Row],[Marks]] &gt;= 90,"A+",IF(Student_Data[[#This Row],[Marks]]&gt;=80,"A",IF(Student_Data[[#This Row],[Marks]]&gt;=70,"B",IF(Student_Data[[#This Row],[Marks]]&gt;=60,"C","F"))))</f>
        <v>F</v>
      </c>
      <c r="K609" t="str">
        <f>IF(Student_Data[[#This Row],[Marks]]&gt;=35,"Pass","Fail")</f>
        <v>Pass</v>
      </c>
    </row>
    <row r="610" spans="1:11" x14ac:dyDescent="0.3">
      <c r="A610" t="s">
        <v>731</v>
      </c>
      <c r="B610" t="s">
        <v>236</v>
      </c>
      <c r="C610" t="s">
        <v>11</v>
      </c>
      <c r="D610">
        <v>6</v>
      </c>
      <c r="E610" t="s">
        <v>33</v>
      </c>
      <c r="F610" t="s">
        <v>43</v>
      </c>
      <c r="G610">
        <v>70</v>
      </c>
      <c r="H610">
        <v>83</v>
      </c>
      <c r="I610" t="s">
        <v>14</v>
      </c>
      <c r="J610" t="str">
        <f>IF(Student_Data[[#This Row],[Marks]] &gt;= 90,"A+",IF(Student_Data[[#This Row],[Marks]]&gt;=80,"A",IF(Student_Data[[#This Row],[Marks]]&gt;=70,"B",IF(Student_Data[[#This Row],[Marks]]&gt;=60,"C","F"))))</f>
        <v>B</v>
      </c>
      <c r="K610" t="str">
        <f>IF(Student_Data[[#This Row],[Marks]]&gt;=35,"Pass","Fail")</f>
        <v>Pass</v>
      </c>
    </row>
    <row r="611" spans="1:11" x14ac:dyDescent="0.3">
      <c r="A611" t="s">
        <v>732</v>
      </c>
      <c r="B611" t="s">
        <v>252</v>
      </c>
      <c r="C611" t="s">
        <v>11</v>
      </c>
      <c r="D611">
        <v>8</v>
      </c>
      <c r="E611" t="s">
        <v>33</v>
      </c>
      <c r="F611" t="s">
        <v>34</v>
      </c>
      <c r="G611">
        <v>82</v>
      </c>
      <c r="H611">
        <v>96</v>
      </c>
      <c r="I611" t="s">
        <v>19</v>
      </c>
      <c r="J611" t="str">
        <f>IF(Student_Data[[#This Row],[Marks]] &gt;= 90,"A+",IF(Student_Data[[#This Row],[Marks]]&gt;=80,"A",IF(Student_Data[[#This Row],[Marks]]&gt;=70,"B",IF(Student_Data[[#This Row],[Marks]]&gt;=60,"C","F"))))</f>
        <v>A</v>
      </c>
      <c r="K611" t="str">
        <f>IF(Student_Data[[#This Row],[Marks]]&gt;=35,"Pass","Fail")</f>
        <v>Pass</v>
      </c>
    </row>
    <row r="612" spans="1:11" x14ac:dyDescent="0.3">
      <c r="A612" t="s">
        <v>733</v>
      </c>
      <c r="B612" t="s">
        <v>24</v>
      </c>
      <c r="C612" t="s">
        <v>11</v>
      </c>
      <c r="D612">
        <v>6</v>
      </c>
      <c r="E612" t="s">
        <v>17</v>
      </c>
      <c r="F612" t="s">
        <v>18</v>
      </c>
      <c r="G612">
        <v>80</v>
      </c>
      <c r="H612">
        <v>70</v>
      </c>
      <c r="I612" t="s">
        <v>49</v>
      </c>
      <c r="J612" t="str">
        <f>IF(Student_Data[[#This Row],[Marks]] &gt;= 90,"A+",IF(Student_Data[[#This Row],[Marks]]&gt;=80,"A",IF(Student_Data[[#This Row],[Marks]]&gt;=70,"B",IF(Student_Data[[#This Row],[Marks]]&gt;=60,"C","F"))))</f>
        <v>A</v>
      </c>
      <c r="K612" t="str">
        <f>IF(Student_Data[[#This Row],[Marks]]&gt;=35,"Pass","Fail")</f>
        <v>Pass</v>
      </c>
    </row>
    <row r="613" spans="1:11" x14ac:dyDescent="0.3">
      <c r="A613" t="s">
        <v>734</v>
      </c>
      <c r="B613" t="s">
        <v>66</v>
      </c>
      <c r="C613" t="s">
        <v>11</v>
      </c>
      <c r="D613">
        <v>8</v>
      </c>
      <c r="E613" t="s">
        <v>33</v>
      </c>
      <c r="F613" t="s">
        <v>22</v>
      </c>
      <c r="G613">
        <v>41</v>
      </c>
      <c r="H613">
        <v>82</v>
      </c>
      <c r="I613" t="s">
        <v>14</v>
      </c>
      <c r="J613" t="str">
        <f>IF(Student_Data[[#This Row],[Marks]] &gt;= 90,"A+",IF(Student_Data[[#This Row],[Marks]]&gt;=80,"A",IF(Student_Data[[#This Row],[Marks]]&gt;=70,"B",IF(Student_Data[[#This Row],[Marks]]&gt;=60,"C","F"))))</f>
        <v>F</v>
      </c>
      <c r="K613" t="str">
        <f>IF(Student_Data[[#This Row],[Marks]]&gt;=35,"Pass","Fail")</f>
        <v>Pass</v>
      </c>
    </row>
    <row r="614" spans="1:11" x14ac:dyDescent="0.3">
      <c r="A614" t="s">
        <v>735</v>
      </c>
      <c r="B614" t="s">
        <v>297</v>
      </c>
      <c r="C614" t="s">
        <v>25</v>
      </c>
      <c r="D614">
        <v>9</v>
      </c>
      <c r="E614" t="s">
        <v>33</v>
      </c>
      <c r="F614" t="s">
        <v>22</v>
      </c>
      <c r="G614">
        <v>93</v>
      </c>
      <c r="H614">
        <v>82</v>
      </c>
      <c r="I614" t="s">
        <v>46</v>
      </c>
      <c r="J614" t="str">
        <f>IF(Student_Data[[#This Row],[Marks]] &gt;= 90,"A+",IF(Student_Data[[#This Row],[Marks]]&gt;=80,"A",IF(Student_Data[[#This Row],[Marks]]&gt;=70,"B",IF(Student_Data[[#This Row],[Marks]]&gt;=60,"C","F"))))</f>
        <v>A+</v>
      </c>
      <c r="K614" t="str">
        <f>IF(Student_Data[[#This Row],[Marks]]&gt;=35,"Pass","Fail")</f>
        <v>Pass</v>
      </c>
    </row>
    <row r="615" spans="1:11" x14ac:dyDescent="0.3">
      <c r="A615" t="s">
        <v>736</v>
      </c>
      <c r="B615" t="s">
        <v>423</v>
      </c>
      <c r="C615" t="s">
        <v>11</v>
      </c>
      <c r="D615">
        <v>7</v>
      </c>
      <c r="E615" t="s">
        <v>33</v>
      </c>
      <c r="F615" t="s">
        <v>18</v>
      </c>
      <c r="G615">
        <v>40</v>
      </c>
      <c r="H615">
        <v>75</v>
      </c>
      <c r="I615" t="s">
        <v>35</v>
      </c>
      <c r="J615" t="str">
        <f>IF(Student_Data[[#This Row],[Marks]] &gt;= 90,"A+",IF(Student_Data[[#This Row],[Marks]]&gt;=80,"A",IF(Student_Data[[#This Row],[Marks]]&gt;=70,"B",IF(Student_Data[[#This Row],[Marks]]&gt;=60,"C","F"))))</f>
        <v>F</v>
      </c>
      <c r="K615" t="str">
        <f>IF(Student_Data[[#This Row],[Marks]]&gt;=35,"Pass","Fail")</f>
        <v>Pass</v>
      </c>
    </row>
    <row r="616" spans="1:11" x14ac:dyDescent="0.3">
      <c r="A616" t="s">
        <v>737</v>
      </c>
      <c r="B616" t="s">
        <v>57</v>
      </c>
      <c r="C616" t="s">
        <v>25</v>
      </c>
      <c r="D616">
        <v>9</v>
      </c>
      <c r="E616" t="s">
        <v>33</v>
      </c>
      <c r="F616" t="s">
        <v>43</v>
      </c>
      <c r="G616">
        <v>59</v>
      </c>
      <c r="H616">
        <v>82</v>
      </c>
      <c r="I616" t="s">
        <v>19</v>
      </c>
      <c r="J616" t="str">
        <f>IF(Student_Data[[#This Row],[Marks]] &gt;= 90,"A+",IF(Student_Data[[#This Row],[Marks]]&gt;=80,"A",IF(Student_Data[[#This Row],[Marks]]&gt;=70,"B",IF(Student_Data[[#This Row],[Marks]]&gt;=60,"C","F"))))</f>
        <v>F</v>
      </c>
      <c r="K616" t="str">
        <f>IF(Student_Data[[#This Row],[Marks]]&gt;=35,"Pass","Fail")</f>
        <v>Pass</v>
      </c>
    </row>
    <row r="617" spans="1:11" x14ac:dyDescent="0.3">
      <c r="A617" t="s">
        <v>738</v>
      </c>
      <c r="B617" t="s">
        <v>448</v>
      </c>
      <c r="C617" t="s">
        <v>25</v>
      </c>
      <c r="D617">
        <v>6</v>
      </c>
      <c r="E617" t="s">
        <v>12</v>
      </c>
      <c r="F617" t="s">
        <v>13</v>
      </c>
      <c r="G617">
        <v>47</v>
      </c>
      <c r="H617">
        <v>83</v>
      </c>
      <c r="I617" t="s">
        <v>35</v>
      </c>
      <c r="J617" t="str">
        <f>IF(Student_Data[[#This Row],[Marks]] &gt;= 90,"A+",IF(Student_Data[[#This Row],[Marks]]&gt;=80,"A",IF(Student_Data[[#This Row],[Marks]]&gt;=70,"B",IF(Student_Data[[#This Row],[Marks]]&gt;=60,"C","F"))))</f>
        <v>F</v>
      </c>
      <c r="K617" t="str">
        <f>IF(Student_Data[[#This Row],[Marks]]&gt;=35,"Pass","Fail")</f>
        <v>Pass</v>
      </c>
    </row>
    <row r="618" spans="1:11" x14ac:dyDescent="0.3">
      <c r="A618" t="s">
        <v>739</v>
      </c>
      <c r="B618" t="s">
        <v>24</v>
      </c>
      <c r="C618" t="s">
        <v>25</v>
      </c>
      <c r="D618">
        <v>8</v>
      </c>
      <c r="E618" t="s">
        <v>12</v>
      </c>
      <c r="F618" t="s">
        <v>22</v>
      </c>
      <c r="G618">
        <v>64</v>
      </c>
      <c r="H618">
        <v>75</v>
      </c>
      <c r="I618" t="s">
        <v>46</v>
      </c>
      <c r="J618" t="str">
        <f>IF(Student_Data[[#This Row],[Marks]] &gt;= 90,"A+",IF(Student_Data[[#This Row],[Marks]]&gt;=80,"A",IF(Student_Data[[#This Row],[Marks]]&gt;=70,"B",IF(Student_Data[[#This Row],[Marks]]&gt;=60,"C","F"))))</f>
        <v>C</v>
      </c>
      <c r="K618" t="str">
        <f>IF(Student_Data[[#This Row],[Marks]]&gt;=35,"Pass","Fail")</f>
        <v>Pass</v>
      </c>
    </row>
    <row r="619" spans="1:11" x14ac:dyDescent="0.3">
      <c r="A619" t="s">
        <v>740</v>
      </c>
      <c r="B619" t="s">
        <v>94</v>
      </c>
      <c r="C619" t="s">
        <v>25</v>
      </c>
      <c r="D619">
        <v>12</v>
      </c>
      <c r="E619" t="s">
        <v>33</v>
      </c>
      <c r="F619" t="s">
        <v>13</v>
      </c>
      <c r="G619">
        <v>98</v>
      </c>
      <c r="H619">
        <v>72</v>
      </c>
      <c r="I619" t="s">
        <v>31</v>
      </c>
      <c r="J619" t="str">
        <f>IF(Student_Data[[#This Row],[Marks]] &gt;= 90,"A+",IF(Student_Data[[#This Row],[Marks]]&gt;=80,"A",IF(Student_Data[[#This Row],[Marks]]&gt;=70,"B",IF(Student_Data[[#This Row],[Marks]]&gt;=60,"C","F"))))</f>
        <v>A+</v>
      </c>
      <c r="K619" t="str">
        <f>IF(Student_Data[[#This Row],[Marks]]&gt;=35,"Pass","Fail")</f>
        <v>Pass</v>
      </c>
    </row>
    <row r="620" spans="1:11" x14ac:dyDescent="0.3">
      <c r="A620" t="s">
        <v>741</v>
      </c>
      <c r="B620" t="s">
        <v>66</v>
      </c>
      <c r="C620" t="s">
        <v>25</v>
      </c>
      <c r="D620">
        <v>11</v>
      </c>
      <c r="E620" t="s">
        <v>17</v>
      </c>
      <c r="F620" t="s">
        <v>22</v>
      </c>
      <c r="G620">
        <v>49</v>
      </c>
      <c r="H620">
        <v>90</v>
      </c>
      <c r="I620" t="s">
        <v>35</v>
      </c>
      <c r="J620" t="str">
        <f>IF(Student_Data[[#This Row],[Marks]] &gt;= 90,"A+",IF(Student_Data[[#This Row],[Marks]]&gt;=80,"A",IF(Student_Data[[#This Row],[Marks]]&gt;=70,"B",IF(Student_Data[[#This Row],[Marks]]&gt;=60,"C","F"))))</f>
        <v>F</v>
      </c>
      <c r="K620" t="str">
        <f>IF(Student_Data[[#This Row],[Marks]]&gt;=35,"Pass","Fail")</f>
        <v>Pass</v>
      </c>
    </row>
    <row r="621" spans="1:11" x14ac:dyDescent="0.3">
      <c r="A621" t="s">
        <v>742</v>
      </c>
      <c r="B621" t="s">
        <v>135</v>
      </c>
      <c r="C621" t="s">
        <v>11</v>
      </c>
      <c r="D621">
        <v>12</v>
      </c>
      <c r="E621" t="s">
        <v>17</v>
      </c>
      <c r="F621" t="s">
        <v>43</v>
      </c>
      <c r="G621">
        <v>79</v>
      </c>
      <c r="H621">
        <v>72</v>
      </c>
      <c r="I621" t="s">
        <v>49</v>
      </c>
      <c r="J621" t="str">
        <f>IF(Student_Data[[#This Row],[Marks]] &gt;= 90,"A+",IF(Student_Data[[#This Row],[Marks]]&gt;=80,"A",IF(Student_Data[[#This Row],[Marks]]&gt;=70,"B",IF(Student_Data[[#This Row],[Marks]]&gt;=60,"C","F"))))</f>
        <v>B</v>
      </c>
      <c r="K621" t="str">
        <f>IF(Student_Data[[#This Row],[Marks]]&gt;=35,"Pass","Fail")</f>
        <v>Pass</v>
      </c>
    </row>
    <row r="622" spans="1:11" x14ac:dyDescent="0.3">
      <c r="A622" t="s">
        <v>743</v>
      </c>
      <c r="B622" t="s">
        <v>200</v>
      </c>
      <c r="C622" t="s">
        <v>25</v>
      </c>
      <c r="D622">
        <v>12</v>
      </c>
      <c r="E622" t="s">
        <v>12</v>
      </c>
      <c r="F622" t="s">
        <v>22</v>
      </c>
      <c r="G622">
        <v>62</v>
      </c>
      <c r="H622">
        <v>88</v>
      </c>
      <c r="I622" t="s">
        <v>31</v>
      </c>
      <c r="J622" t="str">
        <f>IF(Student_Data[[#This Row],[Marks]] &gt;= 90,"A+",IF(Student_Data[[#This Row],[Marks]]&gt;=80,"A",IF(Student_Data[[#This Row],[Marks]]&gt;=70,"B",IF(Student_Data[[#This Row],[Marks]]&gt;=60,"C","F"))))</f>
        <v>C</v>
      </c>
      <c r="K622" t="str">
        <f>IF(Student_Data[[#This Row],[Marks]]&gt;=35,"Pass","Fail")</f>
        <v>Pass</v>
      </c>
    </row>
    <row r="623" spans="1:11" x14ac:dyDescent="0.3">
      <c r="A623" t="s">
        <v>744</v>
      </c>
      <c r="B623" t="s">
        <v>104</v>
      </c>
      <c r="C623" t="s">
        <v>25</v>
      </c>
      <c r="D623">
        <v>7</v>
      </c>
      <c r="E623" t="s">
        <v>33</v>
      </c>
      <c r="F623" t="s">
        <v>26</v>
      </c>
      <c r="G623">
        <v>66</v>
      </c>
      <c r="H623">
        <v>92</v>
      </c>
      <c r="I623" t="s">
        <v>49</v>
      </c>
      <c r="J623" t="str">
        <f>IF(Student_Data[[#This Row],[Marks]] &gt;= 90,"A+",IF(Student_Data[[#This Row],[Marks]]&gt;=80,"A",IF(Student_Data[[#This Row],[Marks]]&gt;=70,"B",IF(Student_Data[[#This Row],[Marks]]&gt;=60,"C","F"))))</f>
        <v>C</v>
      </c>
      <c r="K623" t="str">
        <f>IF(Student_Data[[#This Row],[Marks]]&gt;=35,"Pass","Fail")</f>
        <v>Pass</v>
      </c>
    </row>
    <row r="624" spans="1:11" x14ac:dyDescent="0.3">
      <c r="A624" t="s">
        <v>745</v>
      </c>
      <c r="B624" t="s">
        <v>132</v>
      </c>
      <c r="C624" t="s">
        <v>11</v>
      </c>
      <c r="D624">
        <v>10</v>
      </c>
      <c r="E624" t="s">
        <v>33</v>
      </c>
      <c r="F624" t="s">
        <v>22</v>
      </c>
      <c r="G624">
        <v>76</v>
      </c>
      <c r="H624">
        <v>65</v>
      </c>
      <c r="I624" t="s">
        <v>19</v>
      </c>
      <c r="J624" t="str">
        <f>IF(Student_Data[[#This Row],[Marks]] &gt;= 90,"A+",IF(Student_Data[[#This Row],[Marks]]&gt;=80,"A",IF(Student_Data[[#This Row],[Marks]]&gt;=70,"B",IF(Student_Data[[#This Row],[Marks]]&gt;=60,"C","F"))))</f>
        <v>B</v>
      </c>
      <c r="K624" t="str">
        <f>IF(Student_Data[[#This Row],[Marks]]&gt;=35,"Pass","Fail")</f>
        <v>Pass</v>
      </c>
    </row>
    <row r="625" spans="1:11" x14ac:dyDescent="0.3">
      <c r="A625" t="s">
        <v>746</v>
      </c>
      <c r="B625" t="s">
        <v>143</v>
      </c>
      <c r="C625" t="s">
        <v>11</v>
      </c>
      <c r="D625">
        <v>6</v>
      </c>
      <c r="E625" t="s">
        <v>33</v>
      </c>
      <c r="F625" t="s">
        <v>13</v>
      </c>
      <c r="G625">
        <v>35</v>
      </c>
      <c r="H625">
        <v>99</v>
      </c>
      <c r="I625" t="s">
        <v>19</v>
      </c>
      <c r="J625" t="str">
        <f>IF(Student_Data[[#This Row],[Marks]] &gt;= 90,"A+",IF(Student_Data[[#This Row],[Marks]]&gt;=80,"A",IF(Student_Data[[#This Row],[Marks]]&gt;=70,"B",IF(Student_Data[[#This Row],[Marks]]&gt;=60,"C","F"))))</f>
        <v>F</v>
      </c>
      <c r="K625" t="str">
        <f>IF(Student_Data[[#This Row],[Marks]]&gt;=35,"Pass","Fail")</f>
        <v>Pass</v>
      </c>
    </row>
    <row r="626" spans="1:11" x14ac:dyDescent="0.3">
      <c r="A626" t="s">
        <v>747</v>
      </c>
      <c r="B626" t="s">
        <v>395</v>
      </c>
      <c r="C626" t="s">
        <v>25</v>
      </c>
      <c r="D626">
        <v>9</v>
      </c>
      <c r="E626" t="s">
        <v>17</v>
      </c>
      <c r="F626" t="s">
        <v>22</v>
      </c>
      <c r="G626">
        <v>75</v>
      </c>
      <c r="H626">
        <v>84</v>
      </c>
      <c r="I626" t="s">
        <v>35</v>
      </c>
      <c r="J626" t="str">
        <f>IF(Student_Data[[#This Row],[Marks]] &gt;= 90,"A+",IF(Student_Data[[#This Row],[Marks]]&gt;=80,"A",IF(Student_Data[[#This Row],[Marks]]&gt;=70,"B",IF(Student_Data[[#This Row],[Marks]]&gt;=60,"C","F"))))</f>
        <v>B</v>
      </c>
      <c r="K626" t="str">
        <f>IF(Student_Data[[#This Row],[Marks]]&gt;=35,"Pass","Fail")</f>
        <v>Pass</v>
      </c>
    </row>
    <row r="627" spans="1:11" x14ac:dyDescent="0.3">
      <c r="A627" t="s">
        <v>748</v>
      </c>
      <c r="B627" t="s">
        <v>107</v>
      </c>
      <c r="C627" t="s">
        <v>11</v>
      </c>
      <c r="D627">
        <v>8</v>
      </c>
      <c r="E627" t="s">
        <v>17</v>
      </c>
      <c r="F627" t="s">
        <v>26</v>
      </c>
      <c r="G627">
        <v>64</v>
      </c>
      <c r="H627">
        <v>100</v>
      </c>
      <c r="I627" t="s">
        <v>49</v>
      </c>
      <c r="J627" t="str">
        <f>IF(Student_Data[[#This Row],[Marks]] &gt;= 90,"A+",IF(Student_Data[[#This Row],[Marks]]&gt;=80,"A",IF(Student_Data[[#This Row],[Marks]]&gt;=70,"B",IF(Student_Data[[#This Row],[Marks]]&gt;=60,"C","F"))))</f>
        <v>C</v>
      </c>
      <c r="K627" t="str">
        <f>IF(Student_Data[[#This Row],[Marks]]&gt;=35,"Pass","Fail")</f>
        <v>Pass</v>
      </c>
    </row>
    <row r="628" spans="1:11" x14ac:dyDescent="0.3">
      <c r="A628" t="s">
        <v>749</v>
      </c>
      <c r="B628" t="s">
        <v>55</v>
      </c>
      <c r="C628" t="s">
        <v>11</v>
      </c>
      <c r="D628">
        <v>10</v>
      </c>
      <c r="E628" t="s">
        <v>33</v>
      </c>
      <c r="F628" t="s">
        <v>22</v>
      </c>
      <c r="G628">
        <v>52</v>
      </c>
      <c r="H628">
        <v>81</v>
      </c>
      <c r="I628" t="s">
        <v>40</v>
      </c>
      <c r="J628" t="str">
        <f>IF(Student_Data[[#This Row],[Marks]] &gt;= 90,"A+",IF(Student_Data[[#This Row],[Marks]]&gt;=80,"A",IF(Student_Data[[#This Row],[Marks]]&gt;=70,"B",IF(Student_Data[[#This Row],[Marks]]&gt;=60,"C","F"))))</f>
        <v>F</v>
      </c>
      <c r="K628" t="str">
        <f>IF(Student_Data[[#This Row],[Marks]]&gt;=35,"Pass","Fail")</f>
        <v>Pass</v>
      </c>
    </row>
    <row r="629" spans="1:11" x14ac:dyDescent="0.3">
      <c r="A629" t="s">
        <v>750</v>
      </c>
      <c r="B629" t="s">
        <v>242</v>
      </c>
      <c r="C629" t="s">
        <v>25</v>
      </c>
      <c r="D629">
        <v>12</v>
      </c>
      <c r="E629" t="s">
        <v>12</v>
      </c>
      <c r="F629" t="s">
        <v>43</v>
      </c>
      <c r="G629">
        <v>57</v>
      </c>
      <c r="H629">
        <v>62</v>
      </c>
      <c r="I629" t="s">
        <v>40</v>
      </c>
      <c r="J629" t="str">
        <f>IF(Student_Data[[#This Row],[Marks]] &gt;= 90,"A+",IF(Student_Data[[#This Row],[Marks]]&gt;=80,"A",IF(Student_Data[[#This Row],[Marks]]&gt;=70,"B",IF(Student_Data[[#This Row],[Marks]]&gt;=60,"C","F"))))</f>
        <v>F</v>
      </c>
      <c r="K629" t="str">
        <f>IF(Student_Data[[#This Row],[Marks]]&gt;=35,"Pass","Fail")</f>
        <v>Pass</v>
      </c>
    </row>
    <row r="630" spans="1:11" x14ac:dyDescent="0.3">
      <c r="A630" t="s">
        <v>751</v>
      </c>
      <c r="B630" t="s">
        <v>141</v>
      </c>
      <c r="C630" t="s">
        <v>11</v>
      </c>
      <c r="D630">
        <v>6</v>
      </c>
      <c r="E630" t="s">
        <v>33</v>
      </c>
      <c r="F630" t="s">
        <v>22</v>
      </c>
      <c r="G630">
        <v>67</v>
      </c>
      <c r="H630">
        <v>77</v>
      </c>
      <c r="I630" t="s">
        <v>19</v>
      </c>
      <c r="J630" t="str">
        <f>IF(Student_Data[[#This Row],[Marks]] &gt;= 90,"A+",IF(Student_Data[[#This Row],[Marks]]&gt;=80,"A",IF(Student_Data[[#This Row],[Marks]]&gt;=70,"B",IF(Student_Data[[#This Row],[Marks]]&gt;=60,"C","F"))))</f>
        <v>C</v>
      </c>
      <c r="K630" t="str">
        <f>IF(Student_Data[[#This Row],[Marks]]&gt;=35,"Pass","Fail")</f>
        <v>Pass</v>
      </c>
    </row>
    <row r="631" spans="1:11" x14ac:dyDescent="0.3">
      <c r="A631" t="s">
        <v>752</v>
      </c>
      <c r="B631" t="s">
        <v>239</v>
      </c>
      <c r="C631" t="s">
        <v>11</v>
      </c>
      <c r="D631">
        <v>8</v>
      </c>
      <c r="E631" t="s">
        <v>12</v>
      </c>
      <c r="F631" t="s">
        <v>26</v>
      </c>
      <c r="G631">
        <v>66</v>
      </c>
      <c r="H631">
        <v>83</v>
      </c>
      <c r="I631" t="s">
        <v>40</v>
      </c>
      <c r="J631" t="str">
        <f>IF(Student_Data[[#This Row],[Marks]] &gt;= 90,"A+",IF(Student_Data[[#This Row],[Marks]]&gt;=80,"A",IF(Student_Data[[#This Row],[Marks]]&gt;=70,"B",IF(Student_Data[[#This Row],[Marks]]&gt;=60,"C","F"))))</f>
        <v>C</v>
      </c>
      <c r="K631" t="str">
        <f>IF(Student_Data[[#This Row],[Marks]]&gt;=35,"Pass","Fail")</f>
        <v>Pass</v>
      </c>
    </row>
    <row r="632" spans="1:11" x14ac:dyDescent="0.3">
      <c r="A632" t="s">
        <v>753</v>
      </c>
      <c r="B632" t="s">
        <v>59</v>
      </c>
      <c r="C632" t="s">
        <v>25</v>
      </c>
      <c r="D632">
        <v>8</v>
      </c>
      <c r="E632" t="s">
        <v>17</v>
      </c>
      <c r="F632" t="s">
        <v>22</v>
      </c>
      <c r="G632">
        <v>88</v>
      </c>
      <c r="H632">
        <v>99</v>
      </c>
      <c r="I632" t="s">
        <v>46</v>
      </c>
      <c r="J632" t="str">
        <f>IF(Student_Data[[#This Row],[Marks]] &gt;= 90,"A+",IF(Student_Data[[#This Row],[Marks]]&gt;=80,"A",IF(Student_Data[[#This Row],[Marks]]&gt;=70,"B",IF(Student_Data[[#This Row],[Marks]]&gt;=60,"C","F"))))</f>
        <v>A</v>
      </c>
      <c r="K632" t="str">
        <f>IF(Student_Data[[#This Row],[Marks]]&gt;=35,"Pass","Fail")</f>
        <v>Pass</v>
      </c>
    </row>
    <row r="633" spans="1:11" x14ac:dyDescent="0.3">
      <c r="A633" t="s">
        <v>754</v>
      </c>
      <c r="B633" t="s">
        <v>100</v>
      </c>
      <c r="C633" t="s">
        <v>25</v>
      </c>
      <c r="D633">
        <v>10</v>
      </c>
      <c r="E633" t="s">
        <v>17</v>
      </c>
      <c r="F633" t="s">
        <v>18</v>
      </c>
      <c r="G633">
        <v>35</v>
      </c>
      <c r="H633">
        <v>65</v>
      </c>
      <c r="I633" t="s">
        <v>40</v>
      </c>
      <c r="J633" t="str">
        <f>IF(Student_Data[[#This Row],[Marks]] &gt;= 90,"A+",IF(Student_Data[[#This Row],[Marks]]&gt;=80,"A",IF(Student_Data[[#This Row],[Marks]]&gt;=70,"B",IF(Student_Data[[#This Row],[Marks]]&gt;=60,"C","F"))))</f>
        <v>F</v>
      </c>
      <c r="K633" t="str">
        <f>IF(Student_Data[[#This Row],[Marks]]&gt;=35,"Pass","Fail")</f>
        <v>Pass</v>
      </c>
    </row>
    <row r="634" spans="1:11" x14ac:dyDescent="0.3">
      <c r="A634" t="s">
        <v>755</v>
      </c>
      <c r="B634" t="s">
        <v>68</v>
      </c>
      <c r="C634" t="s">
        <v>25</v>
      </c>
      <c r="D634">
        <v>6</v>
      </c>
      <c r="E634" t="s">
        <v>12</v>
      </c>
      <c r="F634" t="s">
        <v>22</v>
      </c>
      <c r="G634">
        <v>100</v>
      </c>
      <c r="H634">
        <v>95</v>
      </c>
      <c r="I634" t="s">
        <v>14</v>
      </c>
      <c r="J634" t="str">
        <f>IF(Student_Data[[#This Row],[Marks]] &gt;= 90,"A+",IF(Student_Data[[#This Row],[Marks]]&gt;=80,"A",IF(Student_Data[[#This Row],[Marks]]&gt;=70,"B",IF(Student_Data[[#This Row],[Marks]]&gt;=60,"C","F"))))</f>
        <v>A+</v>
      </c>
      <c r="K634" t="str">
        <f>IF(Student_Data[[#This Row],[Marks]]&gt;=35,"Pass","Fail")</f>
        <v>Pass</v>
      </c>
    </row>
    <row r="635" spans="1:11" x14ac:dyDescent="0.3">
      <c r="A635" t="s">
        <v>756</v>
      </c>
      <c r="B635" t="s">
        <v>109</v>
      </c>
      <c r="C635" t="s">
        <v>11</v>
      </c>
      <c r="D635">
        <v>12</v>
      </c>
      <c r="E635" t="s">
        <v>17</v>
      </c>
      <c r="F635" t="s">
        <v>13</v>
      </c>
      <c r="G635">
        <v>100</v>
      </c>
      <c r="H635">
        <v>83</v>
      </c>
      <c r="I635" t="s">
        <v>49</v>
      </c>
      <c r="J635" t="str">
        <f>IF(Student_Data[[#This Row],[Marks]] &gt;= 90,"A+",IF(Student_Data[[#This Row],[Marks]]&gt;=80,"A",IF(Student_Data[[#This Row],[Marks]]&gt;=70,"B",IF(Student_Data[[#This Row],[Marks]]&gt;=60,"C","F"))))</f>
        <v>A+</v>
      </c>
      <c r="K635" t="str">
        <f>IF(Student_Data[[#This Row],[Marks]]&gt;=35,"Pass","Fail")</f>
        <v>Pass</v>
      </c>
    </row>
    <row r="636" spans="1:11" x14ac:dyDescent="0.3">
      <c r="A636" t="s">
        <v>757</v>
      </c>
      <c r="B636" t="s">
        <v>224</v>
      </c>
      <c r="C636" t="s">
        <v>11</v>
      </c>
      <c r="D636">
        <v>9</v>
      </c>
      <c r="E636" t="s">
        <v>12</v>
      </c>
      <c r="F636" t="s">
        <v>43</v>
      </c>
      <c r="G636">
        <v>57</v>
      </c>
      <c r="H636">
        <v>67</v>
      </c>
      <c r="I636" t="s">
        <v>46</v>
      </c>
      <c r="J636" t="str">
        <f>IF(Student_Data[[#This Row],[Marks]] &gt;= 90,"A+",IF(Student_Data[[#This Row],[Marks]]&gt;=80,"A",IF(Student_Data[[#This Row],[Marks]]&gt;=70,"B",IF(Student_Data[[#This Row],[Marks]]&gt;=60,"C","F"))))</f>
        <v>F</v>
      </c>
      <c r="K636" t="str">
        <f>IF(Student_Data[[#This Row],[Marks]]&gt;=35,"Pass","Fail")</f>
        <v>Pass</v>
      </c>
    </row>
    <row r="637" spans="1:11" x14ac:dyDescent="0.3">
      <c r="A637" t="s">
        <v>758</v>
      </c>
      <c r="B637" t="s">
        <v>107</v>
      </c>
      <c r="C637" t="s">
        <v>25</v>
      </c>
      <c r="D637">
        <v>11</v>
      </c>
      <c r="E637" t="s">
        <v>33</v>
      </c>
      <c r="F637" t="s">
        <v>26</v>
      </c>
      <c r="G637">
        <v>54</v>
      </c>
      <c r="H637">
        <v>68</v>
      </c>
      <c r="I637" t="s">
        <v>14</v>
      </c>
      <c r="J637" t="str">
        <f>IF(Student_Data[[#This Row],[Marks]] &gt;= 90,"A+",IF(Student_Data[[#This Row],[Marks]]&gt;=80,"A",IF(Student_Data[[#This Row],[Marks]]&gt;=70,"B",IF(Student_Data[[#This Row],[Marks]]&gt;=60,"C","F"))))</f>
        <v>F</v>
      </c>
      <c r="K637" t="str">
        <f>IF(Student_Data[[#This Row],[Marks]]&gt;=35,"Pass","Fail")</f>
        <v>Pass</v>
      </c>
    </row>
    <row r="638" spans="1:11" x14ac:dyDescent="0.3">
      <c r="A638" t="s">
        <v>759</v>
      </c>
      <c r="B638" t="s">
        <v>254</v>
      </c>
      <c r="C638" t="s">
        <v>25</v>
      </c>
      <c r="D638">
        <v>8</v>
      </c>
      <c r="E638" t="s">
        <v>17</v>
      </c>
      <c r="F638" t="s">
        <v>13</v>
      </c>
      <c r="G638">
        <v>60</v>
      </c>
      <c r="H638">
        <v>91</v>
      </c>
      <c r="I638" t="s">
        <v>49</v>
      </c>
      <c r="J638" t="str">
        <f>IF(Student_Data[[#This Row],[Marks]] &gt;= 90,"A+",IF(Student_Data[[#This Row],[Marks]]&gt;=80,"A",IF(Student_Data[[#This Row],[Marks]]&gt;=70,"B",IF(Student_Data[[#This Row],[Marks]]&gt;=60,"C","F"))))</f>
        <v>C</v>
      </c>
      <c r="K638" t="str">
        <f>IF(Student_Data[[#This Row],[Marks]]&gt;=35,"Pass","Fail")</f>
        <v>Pass</v>
      </c>
    </row>
    <row r="639" spans="1:11" x14ac:dyDescent="0.3">
      <c r="A639" t="s">
        <v>760</v>
      </c>
      <c r="B639" t="s">
        <v>116</v>
      </c>
      <c r="C639" t="s">
        <v>25</v>
      </c>
      <c r="D639">
        <v>11</v>
      </c>
      <c r="E639" t="s">
        <v>33</v>
      </c>
      <c r="F639" t="s">
        <v>18</v>
      </c>
      <c r="G639">
        <v>74</v>
      </c>
      <c r="H639">
        <v>68</v>
      </c>
      <c r="I639" t="s">
        <v>31</v>
      </c>
      <c r="J639" t="str">
        <f>IF(Student_Data[[#This Row],[Marks]] &gt;= 90,"A+",IF(Student_Data[[#This Row],[Marks]]&gt;=80,"A",IF(Student_Data[[#This Row],[Marks]]&gt;=70,"B",IF(Student_Data[[#This Row],[Marks]]&gt;=60,"C","F"))))</f>
        <v>B</v>
      </c>
      <c r="K639" t="str">
        <f>IF(Student_Data[[#This Row],[Marks]]&gt;=35,"Pass","Fail")</f>
        <v>Pass</v>
      </c>
    </row>
    <row r="640" spans="1:11" x14ac:dyDescent="0.3">
      <c r="A640" t="s">
        <v>761</v>
      </c>
      <c r="B640" t="s">
        <v>48</v>
      </c>
      <c r="C640" t="s">
        <v>25</v>
      </c>
      <c r="D640">
        <v>8</v>
      </c>
      <c r="E640" t="s">
        <v>33</v>
      </c>
      <c r="F640" t="s">
        <v>18</v>
      </c>
      <c r="G640">
        <v>71</v>
      </c>
      <c r="H640">
        <v>94</v>
      </c>
      <c r="I640" t="s">
        <v>49</v>
      </c>
      <c r="J640" t="str">
        <f>IF(Student_Data[[#This Row],[Marks]] &gt;= 90,"A+",IF(Student_Data[[#This Row],[Marks]]&gt;=80,"A",IF(Student_Data[[#This Row],[Marks]]&gt;=70,"B",IF(Student_Data[[#This Row],[Marks]]&gt;=60,"C","F"))))</f>
        <v>B</v>
      </c>
      <c r="K640" t="str">
        <f>IF(Student_Data[[#This Row],[Marks]]&gt;=35,"Pass","Fail")</f>
        <v>Pass</v>
      </c>
    </row>
    <row r="641" spans="1:11" x14ac:dyDescent="0.3">
      <c r="A641" t="s">
        <v>762</v>
      </c>
      <c r="B641" t="s">
        <v>200</v>
      </c>
      <c r="C641" t="s">
        <v>25</v>
      </c>
      <c r="D641">
        <v>11</v>
      </c>
      <c r="E641" t="s">
        <v>12</v>
      </c>
      <c r="F641" t="s">
        <v>43</v>
      </c>
      <c r="G641">
        <v>38</v>
      </c>
      <c r="H641">
        <v>94</v>
      </c>
      <c r="I641" t="s">
        <v>19</v>
      </c>
      <c r="J641" t="str">
        <f>IF(Student_Data[[#This Row],[Marks]] &gt;= 90,"A+",IF(Student_Data[[#This Row],[Marks]]&gt;=80,"A",IF(Student_Data[[#This Row],[Marks]]&gt;=70,"B",IF(Student_Data[[#This Row],[Marks]]&gt;=60,"C","F"))))</f>
        <v>F</v>
      </c>
      <c r="K641" t="str">
        <f>IF(Student_Data[[#This Row],[Marks]]&gt;=35,"Pass","Fail")</f>
        <v>Pass</v>
      </c>
    </row>
    <row r="642" spans="1:11" x14ac:dyDescent="0.3">
      <c r="A642" t="s">
        <v>763</v>
      </c>
      <c r="B642" t="s">
        <v>102</v>
      </c>
      <c r="C642" t="s">
        <v>11</v>
      </c>
      <c r="D642">
        <v>11</v>
      </c>
      <c r="E642" t="s">
        <v>12</v>
      </c>
      <c r="F642" t="s">
        <v>22</v>
      </c>
      <c r="G642">
        <v>47</v>
      </c>
      <c r="H642">
        <v>90</v>
      </c>
      <c r="I642" t="s">
        <v>46</v>
      </c>
      <c r="J642" t="str">
        <f>IF(Student_Data[[#This Row],[Marks]] &gt;= 90,"A+",IF(Student_Data[[#This Row],[Marks]]&gt;=80,"A",IF(Student_Data[[#This Row],[Marks]]&gt;=70,"B",IF(Student_Data[[#This Row],[Marks]]&gt;=60,"C","F"))))</f>
        <v>F</v>
      </c>
      <c r="K642" t="str">
        <f>IF(Student_Data[[#This Row],[Marks]]&gt;=35,"Pass","Fail")</f>
        <v>Pass</v>
      </c>
    </row>
    <row r="643" spans="1:11" x14ac:dyDescent="0.3">
      <c r="A643" t="s">
        <v>764</v>
      </c>
      <c r="B643" t="s">
        <v>176</v>
      </c>
      <c r="C643" t="s">
        <v>25</v>
      </c>
      <c r="D643">
        <v>9</v>
      </c>
      <c r="E643" t="s">
        <v>12</v>
      </c>
      <c r="F643" t="s">
        <v>18</v>
      </c>
      <c r="G643">
        <v>71</v>
      </c>
      <c r="H643">
        <v>92</v>
      </c>
      <c r="I643" t="s">
        <v>14</v>
      </c>
      <c r="J643" t="str">
        <f>IF(Student_Data[[#This Row],[Marks]] &gt;= 90,"A+",IF(Student_Data[[#This Row],[Marks]]&gt;=80,"A",IF(Student_Data[[#This Row],[Marks]]&gt;=70,"B",IF(Student_Data[[#This Row],[Marks]]&gt;=60,"C","F"))))</f>
        <v>B</v>
      </c>
      <c r="K643" t="str">
        <f>IF(Student_Data[[#This Row],[Marks]]&gt;=35,"Pass","Fail")</f>
        <v>Pass</v>
      </c>
    </row>
    <row r="644" spans="1:11" x14ac:dyDescent="0.3">
      <c r="A644" t="s">
        <v>765</v>
      </c>
      <c r="B644" t="s">
        <v>16</v>
      </c>
      <c r="C644" t="s">
        <v>11</v>
      </c>
      <c r="D644">
        <v>8</v>
      </c>
      <c r="E644" t="s">
        <v>33</v>
      </c>
      <c r="F644" t="s">
        <v>43</v>
      </c>
      <c r="G644">
        <v>40</v>
      </c>
      <c r="H644">
        <v>91</v>
      </c>
      <c r="I644" t="s">
        <v>35</v>
      </c>
      <c r="J644" t="str">
        <f>IF(Student_Data[[#This Row],[Marks]] &gt;= 90,"A+",IF(Student_Data[[#This Row],[Marks]]&gt;=80,"A",IF(Student_Data[[#This Row],[Marks]]&gt;=70,"B",IF(Student_Data[[#This Row],[Marks]]&gt;=60,"C","F"))))</f>
        <v>F</v>
      </c>
      <c r="K644" t="str">
        <f>IF(Student_Data[[#This Row],[Marks]]&gt;=35,"Pass","Fail")</f>
        <v>Pass</v>
      </c>
    </row>
    <row r="645" spans="1:11" x14ac:dyDescent="0.3">
      <c r="A645" t="s">
        <v>766</v>
      </c>
      <c r="B645" t="s">
        <v>53</v>
      </c>
      <c r="C645" t="s">
        <v>11</v>
      </c>
      <c r="D645">
        <v>7</v>
      </c>
      <c r="E645" t="s">
        <v>17</v>
      </c>
      <c r="F645" t="s">
        <v>34</v>
      </c>
      <c r="G645">
        <v>79</v>
      </c>
      <c r="H645">
        <v>96</v>
      </c>
      <c r="I645" t="s">
        <v>46</v>
      </c>
      <c r="J645" t="str">
        <f>IF(Student_Data[[#This Row],[Marks]] &gt;= 90,"A+",IF(Student_Data[[#This Row],[Marks]]&gt;=80,"A",IF(Student_Data[[#This Row],[Marks]]&gt;=70,"B",IF(Student_Data[[#This Row],[Marks]]&gt;=60,"C","F"))))</f>
        <v>B</v>
      </c>
      <c r="K645" t="str">
        <f>IF(Student_Data[[#This Row],[Marks]]&gt;=35,"Pass","Fail")</f>
        <v>Pass</v>
      </c>
    </row>
    <row r="646" spans="1:11" x14ac:dyDescent="0.3">
      <c r="A646" t="s">
        <v>767</v>
      </c>
      <c r="B646" t="s">
        <v>57</v>
      </c>
      <c r="C646" t="s">
        <v>25</v>
      </c>
      <c r="D646">
        <v>9</v>
      </c>
      <c r="E646" t="s">
        <v>17</v>
      </c>
      <c r="F646" t="s">
        <v>26</v>
      </c>
      <c r="G646">
        <v>70</v>
      </c>
      <c r="H646">
        <v>75</v>
      </c>
      <c r="I646" t="s">
        <v>49</v>
      </c>
      <c r="J646" t="str">
        <f>IF(Student_Data[[#This Row],[Marks]] &gt;= 90,"A+",IF(Student_Data[[#This Row],[Marks]]&gt;=80,"A",IF(Student_Data[[#This Row],[Marks]]&gt;=70,"B",IF(Student_Data[[#This Row],[Marks]]&gt;=60,"C","F"))))</f>
        <v>B</v>
      </c>
      <c r="K646" t="str">
        <f>IF(Student_Data[[#This Row],[Marks]]&gt;=35,"Pass","Fail")</f>
        <v>Pass</v>
      </c>
    </row>
    <row r="647" spans="1:11" x14ac:dyDescent="0.3">
      <c r="A647" t="s">
        <v>768</v>
      </c>
      <c r="B647" t="s">
        <v>45</v>
      </c>
      <c r="C647" t="s">
        <v>25</v>
      </c>
      <c r="D647">
        <v>11</v>
      </c>
      <c r="E647" t="s">
        <v>33</v>
      </c>
      <c r="F647" t="s">
        <v>43</v>
      </c>
      <c r="G647">
        <v>93</v>
      </c>
      <c r="H647">
        <v>80</v>
      </c>
      <c r="I647" t="s">
        <v>19</v>
      </c>
      <c r="J647" t="str">
        <f>IF(Student_Data[[#This Row],[Marks]] &gt;= 90,"A+",IF(Student_Data[[#This Row],[Marks]]&gt;=80,"A",IF(Student_Data[[#This Row],[Marks]]&gt;=70,"B",IF(Student_Data[[#This Row],[Marks]]&gt;=60,"C","F"))))</f>
        <v>A+</v>
      </c>
      <c r="K647" t="str">
        <f>IF(Student_Data[[#This Row],[Marks]]&gt;=35,"Pass","Fail")</f>
        <v>Pass</v>
      </c>
    </row>
    <row r="648" spans="1:11" x14ac:dyDescent="0.3">
      <c r="A648" t="s">
        <v>769</v>
      </c>
      <c r="B648" t="s">
        <v>457</v>
      </c>
      <c r="C648" t="s">
        <v>11</v>
      </c>
      <c r="D648">
        <v>6</v>
      </c>
      <c r="E648" t="s">
        <v>12</v>
      </c>
      <c r="F648" t="s">
        <v>13</v>
      </c>
      <c r="G648">
        <v>72</v>
      </c>
      <c r="H648">
        <v>74</v>
      </c>
      <c r="I648" t="s">
        <v>49</v>
      </c>
      <c r="J648" t="str">
        <f>IF(Student_Data[[#This Row],[Marks]] &gt;= 90,"A+",IF(Student_Data[[#This Row],[Marks]]&gt;=80,"A",IF(Student_Data[[#This Row],[Marks]]&gt;=70,"B",IF(Student_Data[[#This Row],[Marks]]&gt;=60,"C","F"))))</f>
        <v>B</v>
      </c>
      <c r="K648" t="str">
        <f>IF(Student_Data[[#This Row],[Marks]]&gt;=35,"Pass","Fail")</f>
        <v>Pass</v>
      </c>
    </row>
    <row r="649" spans="1:11" x14ac:dyDescent="0.3">
      <c r="A649" t="s">
        <v>770</v>
      </c>
      <c r="B649" t="s">
        <v>173</v>
      </c>
      <c r="C649" t="s">
        <v>11</v>
      </c>
      <c r="D649">
        <v>12</v>
      </c>
      <c r="E649" t="s">
        <v>33</v>
      </c>
      <c r="F649" t="s">
        <v>26</v>
      </c>
      <c r="G649">
        <v>78</v>
      </c>
      <c r="H649">
        <v>83</v>
      </c>
      <c r="I649" t="s">
        <v>31</v>
      </c>
      <c r="J649" t="str">
        <f>IF(Student_Data[[#This Row],[Marks]] &gt;= 90,"A+",IF(Student_Data[[#This Row],[Marks]]&gt;=80,"A",IF(Student_Data[[#This Row],[Marks]]&gt;=70,"B",IF(Student_Data[[#This Row],[Marks]]&gt;=60,"C","F"))))</f>
        <v>B</v>
      </c>
      <c r="K649" t="str">
        <f>IF(Student_Data[[#This Row],[Marks]]&gt;=35,"Pass","Fail")</f>
        <v>Pass</v>
      </c>
    </row>
    <row r="650" spans="1:11" x14ac:dyDescent="0.3">
      <c r="A650" t="s">
        <v>771</v>
      </c>
      <c r="B650" t="s">
        <v>182</v>
      </c>
      <c r="C650" t="s">
        <v>25</v>
      </c>
      <c r="D650">
        <v>6</v>
      </c>
      <c r="E650" t="s">
        <v>33</v>
      </c>
      <c r="F650" t="s">
        <v>13</v>
      </c>
      <c r="G650">
        <v>56</v>
      </c>
      <c r="H650">
        <v>91</v>
      </c>
      <c r="I650" t="s">
        <v>40</v>
      </c>
      <c r="J650" t="str">
        <f>IF(Student_Data[[#This Row],[Marks]] &gt;= 90,"A+",IF(Student_Data[[#This Row],[Marks]]&gt;=80,"A",IF(Student_Data[[#This Row],[Marks]]&gt;=70,"B",IF(Student_Data[[#This Row],[Marks]]&gt;=60,"C","F"))))</f>
        <v>F</v>
      </c>
      <c r="K650" t="str">
        <f>IF(Student_Data[[#This Row],[Marks]]&gt;=35,"Pass","Fail")</f>
        <v>Pass</v>
      </c>
    </row>
    <row r="651" spans="1:11" x14ac:dyDescent="0.3">
      <c r="A651" t="s">
        <v>772</v>
      </c>
      <c r="B651" t="s">
        <v>94</v>
      </c>
      <c r="C651" t="s">
        <v>11</v>
      </c>
      <c r="D651">
        <v>10</v>
      </c>
      <c r="E651" t="s">
        <v>33</v>
      </c>
      <c r="F651" t="s">
        <v>13</v>
      </c>
      <c r="G651">
        <v>97</v>
      </c>
      <c r="H651">
        <v>97</v>
      </c>
      <c r="I651" t="s">
        <v>35</v>
      </c>
      <c r="J651" t="str">
        <f>IF(Student_Data[[#This Row],[Marks]] &gt;= 90,"A+",IF(Student_Data[[#This Row],[Marks]]&gt;=80,"A",IF(Student_Data[[#This Row],[Marks]]&gt;=70,"B",IF(Student_Data[[#This Row],[Marks]]&gt;=60,"C","F"))))</f>
        <v>A+</v>
      </c>
      <c r="K651" t="str">
        <f>IF(Student_Data[[#This Row],[Marks]]&gt;=35,"Pass","Fail")</f>
        <v>Pass</v>
      </c>
    </row>
    <row r="652" spans="1:11" x14ac:dyDescent="0.3">
      <c r="A652" t="s">
        <v>773</v>
      </c>
      <c r="B652" t="s">
        <v>176</v>
      </c>
      <c r="C652" t="s">
        <v>11</v>
      </c>
      <c r="D652">
        <v>8</v>
      </c>
      <c r="E652" t="s">
        <v>12</v>
      </c>
      <c r="F652" t="s">
        <v>34</v>
      </c>
      <c r="G652">
        <v>36</v>
      </c>
      <c r="H652">
        <v>71</v>
      </c>
      <c r="I652" t="s">
        <v>19</v>
      </c>
      <c r="J652" t="str">
        <f>IF(Student_Data[[#This Row],[Marks]] &gt;= 90,"A+",IF(Student_Data[[#This Row],[Marks]]&gt;=80,"A",IF(Student_Data[[#This Row],[Marks]]&gt;=70,"B",IF(Student_Data[[#This Row],[Marks]]&gt;=60,"C","F"))))</f>
        <v>F</v>
      </c>
      <c r="K652" t="str">
        <f>IF(Student_Data[[#This Row],[Marks]]&gt;=35,"Pass","Fail")</f>
        <v>Pass</v>
      </c>
    </row>
    <row r="653" spans="1:11" x14ac:dyDescent="0.3">
      <c r="A653" t="s">
        <v>774</v>
      </c>
      <c r="B653" t="s">
        <v>226</v>
      </c>
      <c r="C653" t="s">
        <v>11</v>
      </c>
      <c r="D653">
        <v>10</v>
      </c>
      <c r="E653" t="s">
        <v>33</v>
      </c>
      <c r="F653" t="s">
        <v>34</v>
      </c>
      <c r="G653">
        <v>44</v>
      </c>
      <c r="H653">
        <v>72</v>
      </c>
      <c r="I653" t="s">
        <v>19</v>
      </c>
      <c r="J653" t="str">
        <f>IF(Student_Data[[#This Row],[Marks]] &gt;= 90,"A+",IF(Student_Data[[#This Row],[Marks]]&gt;=80,"A",IF(Student_Data[[#This Row],[Marks]]&gt;=70,"B",IF(Student_Data[[#This Row],[Marks]]&gt;=60,"C","F"))))</f>
        <v>F</v>
      </c>
      <c r="K653" t="str">
        <f>IF(Student_Data[[#This Row],[Marks]]&gt;=35,"Pass","Fail")</f>
        <v>Pass</v>
      </c>
    </row>
    <row r="654" spans="1:11" x14ac:dyDescent="0.3">
      <c r="A654" t="s">
        <v>775</v>
      </c>
      <c r="B654" t="s">
        <v>96</v>
      </c>
      <c r="C654" t="s">
        <v>25</v>
      </c>
      <c r="D654">
        <v>6</v>
      </c>
      <c r="E654" t="s">
        <v>12</v>
      </c>
      <c r="F654" t="s">
        <v>22</v>
      </c>
      <c r="G654">
        <v>65</v>
      </c>
      <c r="H654">
        <v>63</v>
      </c>
      <c r="I654" t="s">
        <v>14</v>
      </c>
      <c r="J654" t="str">
        <f>IF(Student_Data[[#This Row],[Marks]] &gt;= 90,"A+",IF(Student_Data[[#This Row],[Marks]]&gt;=80,"A",IF(Student_Data[[#This Row],[Marks]]&gt;=70,"B",IF(Student_Data[[#This Row],[Marks]]&gt;=60,"C","F"))))</f>
        <v>C</v>
      </c>
      <c r="K654" t="str">
        <f>IF(Student_Data[[#This Row],[Marks]]&gt;=35,"Pass","Fail")</f>
        <v>Pass</v>
      </c>
    </row>
    <row r="655" spans="1:11" x14ac:dyDescent="0.3">
      <c r="A655" t="s">
        <v>776</v>
      </c>
      <c r="B655" t="s">
        <v>143</v>
      </c>
      <c r="C655" t="s">
        <v>25</v>
      </c>
      <c r="D655">
        <v>9</v>
      </c>
      <c r="E655" t="s">
        <v>12</v>
      </c>
      <c r="F655" t="s">
        <v>18</v>
      </c>
      <c r="G655">
        <v>100</v>
      </c>
      <c r="H655">
        <v>88</v>
      </c>
      <c r="I655" t="s">
        <v>31</v>
      </c>
      <c r="J655" t="str">
        <f>IF(Student_Data[[#This Row],[Marks]] &gt;= 90,"A+",IF(Student_Data[[#This Row],[Marks]]&gt;=80,"A",IF(Student_Data[[#This Row],[Marks]]&gt;=70,"B",IF(Student_Data[[#This Row],[Marks]]&gt;=60,"C","F"))))</f>
        <v>A+</v>
      </c>
      <c r="K655" t="str">
        <f>IF(Student_Data[[#This Row],[Marks]]&gt;=35,"Pass","Fail")</f>
        <v>Pass</v>
      </c>
    </row>
    <row r="656" spans="1:11" x14ac:dyDescent="0.3">
      <c r="A656" t="s">
        <v>777</v>
      </c>
      <c r="B656" t="s">
        <v>224</v>
      </c>
      <c r="C656" t="s">
        <v>11</v>
      </c>
      <c r="D656">
        <v>12</v>
      </c>
      <c r="E656" t="s">
        <v>33</v>
      </c>
      <c r="F656" t="s">
        <v>22</v>
      </c>
      <c r="G656">
        <v>96</v>
      </c>
      <c r="H656">
        <v>78</v>
      </c>
      <c r="I656" t="s">
        <v>40</v>
      </c>
      <c r="J656" t="str">
        <f>IF(Student_Data[[#This Row],[Marks]] &gt;= 90,"A+",IF(Student_Data[[#This Row],[Marks]]&gt;=80,"A",IF(Student_Data[[#This Row],[Marks]]&gt;=70,"B",IF(Student_Data[[#This Row],[Marks]]&gt;=60,"C","F"))))</f>
        <v>A+</v>
      </c>
      <c r="K656" t="str">
        <f>IF(Student_Data[[#This Row],[Marks]]&gt;=35,"Pass","Fail")</f>
        <v>Pass</v>
      </c>
    </row>
    <row r="657" spans="1:11" x14ac:dyDescent="0.3">
      <c r="A657" t="s">
        <v>778</v>
      </c>
      <c r="B657" t="s">
        <v>147</v>
      </c>
      <c r="C657" t="s">
        <v>25</v>
      </c>
      <c r="D657">
        <v>12</v>
      </c>
      <c r="E657" t="s">
        <v>33</v>
      </c>
      <c r="F657" t="s">
        <v>13</v>
      </c>
      <c r="G657">
        <v>41</v>
      </c>
      <c r="H657">
        <v>63</v>
      </c>
      <c r="I657" t="s">
        <v>46</v>
      </c>
      <c r="J657" t="str">
        <f>IF(Student_Data[[#This Row],[Marks]] &gt;= 90,"A+",IF(Student_Data[[#This Row],[Marks]]&gt;=80,"A",IF(Student_Data[[#This Row],[Marks]]&gt;=70,"B",IF(Student_Data[[#This Row],[Marks]]&gt;=60,"C","F"))))</f>
        <v>F</v>
      </c>
      <c r="K657" t="str">
        <f>IF(Student_Data[[#This Row],[Marks]]&gt;=35,"Pass","Fail")</f>
        <v>Pass</v>
      </c>
    </row>
    <row r="658" spans="1:11" x14ac:dyDescent="0.3">
      <c r="A658" t="s">
        <v>779</v>
      </c>
      <c r="B658" t="s">
        <v>121</v>
      </c>
      <c r="C658" t="s">
        <v>25</v>
      </c>
      <c r="D658">
        <v>8</v>
      </c>
      <c r="E658" t="s">
        <v>12</v>
      </c>
      <c r="F658" t="s">
        <v>13</v>
      </c>
      <c r="G658">
        <v>38</v>
      </c>
      <c r="H658">
        <v>92</v>
      </c>
      <c r="I658" t="s">
        <v>31</v>
      </c>
      <c r="J658" t="str">
        <f>IF(Student_Data[[#This Row],[Marks]] &gt;= 90,"A+",IF(Student_Data[[#This Row],[Marks]]&gt;=80,"A",IF(Student_Data[[#This Row],[Marks]]&gt;=70,"B",IF(Student_Data[[#This Row],[Marks]]&gt;=60,"C","F"))))</f>
        <v>F</v>
      </c>
      <c r="K658" t="str">
        <f>IF(Student_Data[[#This Row],[Marks]]&gt;=35,"Pass","Fail")</f>
        <v>Pass</v>
      </c>
    </row>
    <row r="659" spans="1:11" x14ac:dyDescent="0.3">
      <c r="A659" t="s">
        <v>780</v>
      </c>
      <c r="B659" t="s">
        <v>80</v>
      </c>
      <c r="C659" t="s">
        <v>25</v>
      </c>
      <c r="D659">
        <v>8</v>
      </c>
      <c r="E659" t="s">
        <v>33</v>
      </c>
      <c r="F659" t="s">
        <v>18</v>
      </c>
      <c r="G659">
        <v>50</v>
      </c>
      <c r="H659">
        <v>61</v>
      </c>
      <c r="I659" t="s">
        <v>19</v>
      </c>
      <c r="J659" t="str">
        <f>IF(Student_Data[[#This Row],[Marks]] &gt;= 90,"A+",IF(Student_Data[[#This Row],[Marks]]&gt;=80,"A",IF(Student_Data[[#This Row],[Marks]]&gt;=70,"B",IF(Student_Data[[#This Row],[Marks]]&gt;=60,"C","F"))))</f>
        <v>F</v>
      </c>
      <c r="K659" t="str">
        <f>IF(Student_Data[[#This Row],[Marks]]&gt;=35,"Pass","Fail")</f>
        <v>Pass</v>
      </c>
    </row>
    <row r="660" spans="1:11" x14ac:dyDescent="0.3">
      <c r="A660" t="s">
        <v>781</v>
      </c>
      <c r="B660" t="s">
        <v>182</v>
      </c>
      <c r="C660" t="s">
        <v>11</v>
      </c>
      <c r="D660">
        <v>6</v>
      </c>
      <c r="E660" t="s">
        <v>33</v>
      </c>
      <c r="F660" t="s">
        <v>13</v>
      </c>
      <c r="G660">
        <v>63</v>
      </c>
      <c r="H660">
        <v>100</v>
      </c>
      <c r="I660" t="s">
        <v>40</v>
      </c>
      <c r="J660" t="str">
        <f>IF(Student_Data[[#This Row],[Marks]] &gt;= 90,"A+",IF(Student_Data[[#This Row],[Marks]]&gt;=80,"A",IF(Student_Data[[#This Row],[Marks]]&gt;=70,"B",IF(Student_Data[[#This Row],[Marks]]&gt;=60,"C","F"))))</f>
        <v>C</v>
      </c>
      <c r="K660" t="str">
        <f>IF(Student_Data[[#This Row],[Marks]]&gt;=35,"Pass","Fail")</f>
        <v>Pass</v>
      </c>
    </row>
    <row r="661" spans="1:11" x14ac:dyDescent="0.3">
      <c r="A661" t="s">
        <v>782</v>
      </c>
      <c r="B661" t="s">
        <v>118</v>
      </c>
      <c r="C661" t="s">
        <v>11</v>
      </c>
      <c r="D661">
        <v>9</v>
      </c>
      <c r="E661" t="s">
        <v>12</v>
      </c>
      <c r="F661" t="s">
        <v>18</v>
      </c>
      <c r="G661">
        <v>52</v>
      </c>
      <c r="H661">
        <v>81</v>
      </c>
      <c r="I661" t="s">
        <v>19</v>
      </c>
      <c r="J661" t="str">
        <f>IF(Student_Data[[#This Row],[Marks]] &gt;= 90,"A+",IF(Student_Data[[#This Row],[Marks]]&gt;=80,"A",IF(Student_Data[[#This Row],[Marks]]&gt;=70,"B",IF(Student_Data[[#This Row],[Marks]]&gt;=60,"C","F"))))</f>
        <v>F</v>
      </c>
      <c r="K661" t="str">
        <f>IF(Student_Data[[#This Row],[Marks]]&gt;=35,"Pass","Fail")</f>
        <v>Pass</v>
      </c>
    </row>
    <row r="662" spans="1:11" x14ac:dyDescent="0.3">
      <c r="A662" t="s">
        <v>783</v>
      </c>
      <c r="B662" t="s">
        <v>141</v>
      </c>
      <c r="C662" t="s">
        <v>25</v>
      </c>
      <c r="D662">
        <v>6</v>
      </c>
      <c r="E662" t="s">
        <v>12</v>
      </c>
      <c r="F662" t="s">
        <v>18</v>
      </c>
      <c r="G662">
        <v>50</v>
      </c>
      <c r="H662">
        <v>96</v>
      </c>
      <c r="I662" t="s">
        <v>40</v>
      </c>
      <c r="J662" t="str">
        <f>IF(Student_Data[[#This Row],[Marks]] &gt;= 90,"A+",IF(Student_Data[[#This Row],[Marks]]&gt;=80,"A",IF(Student_Data[[#This Row],[Marks]]&gt;=70,"B",IF(Student_Data[[#This Row],[Marks]]&gt;=60,"C","F"))))</f>
        <v>F</v>
      </c>
      <c r="K662" t="str">
        <f>IF(Student_Data[[#This Row],[Marks]]&gt;=35,"Pass","Fail")</f>
        <v>Pass</v>
      </c>
    </row>
    <row r="663" spans="1:11" x14ac:dyDescent="0.3">
      <c r="A663" t="s">
        <v>784</v>
      </c>
      <c r="B663" t="s">
        <v>90</v>
      </c>
      <c r="C663" t="s">
        <v>25</v>
      </c>
      <c r="D663">
        <v>11</v>
      </c>
      <c r="E663" t="s">
        <v>17</v>
      </c>
      <c r="F663" t="s">
        <v>22</v>
      </c>
      <c r="G663">
        <v>37</v>
      </c>
      <c r="H663">
        <v>91</v>
      </c>
      <c r="I663" t="s">
        <v>14</v>
      </c>
      <c r="J663" t="str">
        <f>IF(Student_Data[[#This Row],[Marks]] &gt;= 90,"A+",IF(Student_Data[[#This Row],[Marks]]&gt;=80,"A",IF(Student_Data[[#This Row],[Marks]]&gt;=70,"B",IF(Student_Data[[#This Row],[Marks]]&gt;=60,"C","F"))))</f>
        <v>F</v>
      </c>
      <c r="K663" t="str">
        <f>IF(Student_Data[[#This Row],[Marks]]&gt;=35,"Pass","Fail")</f>
        <v>Pass</v>
      </c>
    </row>
    <row r="664" spans="1:11" x14ac:dyDescent="0.3">
      <c r="A664" t="s">
        <v>785</v>
      </c>
      <c r="B664" t="s">
        <v>100</v>
      </c>
      <c r="C664" t="s">
        <v>11</v>
      </c>
      <c r="D664">
        <v>10</v>
      </c>
      <c r="E664" t="s">
        <v>17</v>
      </c>
      <c r="F664" t="s">
        <v>22</v>
      </c>
      <c r="G664">
        <v>72</v>
      </c>
      <c r="H664">
        <v>92</v>
      </c>
      <c r="I664" t="s">
        <v>40</v>
      </c>
      <c r="J664" t="str">
        <f>IF(Student_Data[[#This Row],[Marks]] &gt;= 90,"A+",IF(Student_Data[[#This Row],[Marks]]&gt;=80,"A",IF(Student_Data[[#This Row],[Marks]]&gt;=70,"B",IF(Student_Data[[#This Row],[Marks]]&gt;=60,"C","F"))))</f>
        <v>B</v>
      </c>
      <c r="K664" t="str">
        <f>IF(Student_Data[[#This Row],[Marks]]&gt;=35,"Pass","Fail")</f>
        <v>Pass</v>
      </c>
    </row>
    <row r="665" spans="1:11" x14ac:dyDescent="0.3">
      <c r="A665" t="s">
        <v>786</v>
      </c>
      <c r="B665" t="s">
        <v>84</v>
      </c>
      <c r="C665" t="s">
        <v>11</v>
      </c>
      <c r="D665">
        <v>6</v>
      </c>
      <c r="E665" t="s">
        <v>12</v>
      </c>
      <c r="F665" t="s">
        <v>18</v>
      </c>
      <c r="G665">
        <v>95</v>
      </c>
      <c r="H665">
        <v>85</v>
      </c>
      <c r="I665" t="s">
        <v>46</v>
      </c>
      <c r="J665" t="str">
        <f>IF(Student_Data[[#This Row],[Marks]] &gt;= 90,"A+",IF(Student_Data[[#This Row],[Marks]]&gt;=80,"A",IF(Student_Data[[#This Row],[Marks]]&gt;=70,"B",IF(Student_Data[[#This Row],[Marks]]&gt;=60,"C","F"))))</f>
        <v>A+</v>
      </c>
      <c r="K665" t="str">
        <f>IF(Student_Data[[#This Row],[Marks]]&gt;=35,"Pass","Fail")</f>
        <v>Pass</v>
      </c>
    </row>
    <row r="666" spans="1:11" x14ac:dyDescent="0.3">
      <c r="A666" t="s">
        <v>787</v>
      </c>
      <c r="B666" t="s">
        <v>61</v>
      </c>
      <c r="C666" t="s">
        <v>11</v>
      </c>
      <c r="D666">
        <v>9</v>
      </c>
      <c r="E666" t="s">
        <v>12</v>
      </c>
      <c r="F666" t="s">
        <v>26</v>
      </c>
      <c r="G666">
        <v>91</v>
      </c>
      <c r="H666">
        <v>88</v>
      </c>
      <c r="I666" t="s">
        <v>46</v>
      </c>
      <c r="J666" t="str">
        <f>IF(Student_Data[[#This Row],[Marks]] &gt;= 90,"A+",IF(Student_Data[[#This Row],[Marks]]&gt;=80,"A",IF(Student_Data[[#This Row],[Marks]]&gt;=70,"B",IF(Student_Data[[#This Row],[Marks]]&gt;=60,"C","F"))))</f>
        <v>A+</v>
      </c>
      <c r="K666" t="str">
        <f>IF(Student_Data[[#This Row],[Marks]]&gt;=35,"Pass","Fail")</f>
        <v>Pass</v>
      </c>
    </row>
    <row r="667" spans="1:11" x14ac:dyDescent="0.3">
      <c r="A667" t="s">
        <v>788</v>
      </c>
      <c r="B667" t="s">
        <v>423</v>
      </c>
      <c r="C667" t="s">
        <v>11</v>
      </c>
      <c r="D667">
        <v>12</v>
      </c>
      <c r="E667" t="s">
        <v>12</v>
      </c>
      <c r="F667" t="s">
        <v>22</v>
      </c>
      <c r="G667">
        <v>74</v>
      </c>
      <c r="H667">
        <v>61</v>
      </c>
      <c r="I667" t="s">
        <v>46</v>
      </c>
      <c r="J667" t="str">
        <f>IF(Student_Data[[#This Row],[Marks]] &gt;= 90,"A+",IF(Student_Data[[#This Row],[Marks]]&gt;=80,"A",IF(Student_Data[[#This Row],[Marks]]&gt;=70,"B",IF(Student_Data[[#This Row],[Marks]]&gt;=60,"C","F"))))</f>
        <v>B</v>
      </c>
      <c r="K667" t="str">
        <f>IF(Student_Data[[#This Row],[Marks]]&gt;=35,"Pass","Fail")</f>
        <v>Pass</v>
      </c>
    </row>
    <row r="668" spans="1:11" x14ac:dyDescent="0.3">
      <c r="A668" t="s">
        <v>789</v>
      </c>
      <c r="B668" t="s">
        <v>173</v>
      </c>
      <c r="C668" t="s">
        <v>25</v>
      </c>
      <c r="D668">
        <v>11</v>
      </c>
      <c r="E668" t="s">
        <v>33</v>
      </c>
      <c r="F668" t="s">
        <v>22</v>
      </c>
      <c r="G668">
        <v>87</v>
      </c>
      <c r="H668">
        <v>87</v>
      </c>
      <c r="I668" t="s">
        <v>40</v>
      </c>
      <c r="J668" t="str">
        <f>IF(Student_Data[[#This Row],[Marks]] &gt;= 90,"A+",IF(Student_Data[[#This Row],[Marks]]&gt;=80,"A",IF(Student_Data[[#This Row],[Marks]]&gt;=70,"B",IF(Student_Data[[#This Row],[Marks]]&gt;=60,"C","F"))))</f>
        <v>A</v>
      </c>
      <c r="K668" t="str">
        <f>IF(Student_Data[[#This Row],[Marks]]&gt;=35,"Pass","Fail")</f>
        <v>Pass</v>
      </c>
    </row>
    <row r="669" spans="1:11" x14ac:dyDescent="0.3">
      <c r="A669" t="s">
        <v>790</v>
      </c>
      <c r="B669" t="s">
        <v>114</v>
      </c>
      <c r="C669" t="s">
        <v>11</v>
      </c>
      <c r="D669">
        <v>9</v>
      </c>
      <c r="E669" t="s">
        <v>33</v>
      </c>
      <c r="F669" t="s">
        <v>13</v>
      </c>
      <c r="G669">
        <v>80</v>
      </c>
      <c r="H669">
        <v>73</v>
      </c>
      <c r="I669" t="s">
        <v>14</v>
      </c>
      <c r="J669" t="str">
        <f>IF(Student_Data[[#This Row],[Marks]] &gt;= 90,"A+",IF(Student_Data[[#This Row],[Marks]]&gt;=80,"A",IF(Student_Data[[#This Row],[Marks]]&gt;=70,"B",IF(Student_Data[[#This Row],[Marks]]&gt;=60,"C","F"))))</f>
        <v>A</v>
      </c>
      <c r="K669" t="str">
        <f>IF(Student_Data[[#This Row],[Marks]]&gt;=35,"Pass","Fail")</f>
        <v>Pass</v>
      </c>
    </row>
    <row r="670" spans="1:11" x14ac:dyDescent="0.3">
      <c r="A670" t="s">
        <v>791</v>
      </c>
      <c r="B670" t="s">
        <v>198</v>
      </c>
      <c r="C670" t="s">
        <v>11</v>
      </c>
      <c r="D670">
        <v>11</v>
      </c>
      <c r="E670" t="s">
        <v>33</v>
      </c>
      <c r="F670" t="s">
        <v>34</v>
      </c>
      <c r="G670">
        <v>98</v>
      </c>
      <c r="H670">
        <v>71</v>
      </c>
      <c r="I670" t="s">
        <v>46</v>
      </c>
      <c r="J670" t="str">
        <f>IF(Student_Data[[#This Row],[Marks]] &gt;= 90,"A+",IF(Student_Data[[#This Row],[Marks]]&gt;=80,"A",IF(Student_Data[[#This Row],[Marks]]&gt;=70,"B",IF(Student_Data[[#This Row],[Marks]]&gt;=60,"C","F"))))</f>
        <v>A+</v>
      </c>
      <c r="K670" t="str">
        <f>IF(Student_Data[[#This Row],[Marks]]&gt;=35,"Pass","Fail")</f>
        <v>Pass</v>
      </c>
    </row>
    <row r="671" spans="1:11" x14ac:dyDescent="0.3">
      <c r="A671" t="s">
        <v>792</v>
      </c>
      <c r="B671" t="s">
        <v>90</v>
      </c>
      <c r="C671" t="s">
        <v>25</v>
      </c>
      <c r="D671">
        <v>12</v>
      </c>
      <c r="E671" t="s">
        <v>33</v>
      </c>
      <c r="F671" t="s">
        <v>34</v>
      </c>
      <c r="G671">
        <v>58</v>
      </c>
      <c r="H671">
        <v>100</v>
      </c>
      <c r="I671" t="s">
        <v>40</v>
      </c>
      <c r="J671" t="str">
        <f>IF(Student_Data[[#This Row],[Marks]] &gt;= 90,"A+",IF(Student_Data[[#This Row],[Marks]]&gt;=80,"A",IF(Student_Data[[#This Row],[Marks]]&gt;=70,"B",IF(Student_Data[[#This Row],[Marks]]&gt;=60,"C","F"))))</f>
        <v>F</v>
      </c>
      <c r="K671" t="str">
        <f>IF(Student_Data[[#This Row],[Marks]]&gt;=35,"Pass","Fail")</f>
        <v>Pass</v>
      </c>
    </row>
    <row r="672" spans="1:11" x14ac:dyDescent="0.3">
      <c r="A672" t="s">
        <v>793</v>
      </c>
      <c r="B672" t="s">
        <v>186</v>
      </c>
      <c r="C672" t="s">
        <v>11</v>
      </c>
      <c r="D672">
        <v>12</v>
      </c>
      <c r="E672" t="s">
        <v>12</v>
      </c>
      <c r="F672" t="s">
        <v>34</v>
      </c>
      <c r="G672">
        <v>79</v>
      </c>
      <c r="H672">
        <v>98</v>
      </c>
      <c r="I672" t="s">
        <v>46</v>
      </c>
      <c r="J672" t="str">
        <f>IF(Student_Data[[#This Row],[Marks]] &gt;= 90,"A+",IF(Student_Data[[#This Row],[Marks]]&gt;=80,"A",IF(Student_Data[[#This Row],[Marks]]&gt;=70,"B",IF(Student_Data[[#This Row],[Marks]]&gt;=60,"C","F"))))</f>
        <v>B</v>
      </c>
      <c r="K672" t="str">
        <f>IF(Student_Data[[#This Row],[Marks]]&gt;=35,"Pass","Fail")</f>
        <v>Pass</v>
      </c>
    </row>
    <row r="673" spans="1:11" x14ac:dyDescent="0.3">
      <c r="A673" t="s">
        <v>794</v>
      </c>
      <c r="B673" t="s">
        <v>395</v>
      </c>
      <c r="C673" t="s">
        <v>25</v>
      </c>
      <c r="D673">
        <v>12</v>
      </c>
      <c r="E673" t="s">
        <v>17</v>
      </c>
      <c r="F673" t="s">
        <v>18</v>
      </c>
      <c r="G673">
        <v>100</v>
      </c>
      <c r="H673">
        <v>83</v>
      </c>
      <c r="I673" t="s">
        <v>46</v>
      </c>
      <c r="J673" t="str">
        <f>IF(Student_Data[[#This Row],[Marks]] &gt;= 90,"A+",IF(Student_Data[[#This Row],[Marks]]&gt;=80,"A",IF(Student_Data[[#This Row],[Marks]]&gt;=70,"B",IF(Student_Data[[#This Row],[Marks]]&gt;=60,"C","F"))))</f>
        <v>A+</v>
      </c>
      <c r="K673" t="str">
        <f>IF(Student_Data[[#This Row],[Marks]]&gt;=35,"Pass","Fail")</f>
        <v>Pass</v>
      </c>
    </row>
    <row r="674" spans="1:11" x14ac:dyDescent="0.3">
      <c r="A674" t="s">
        <v>795</v>
      </c>
      <c r="B674" t="s">
        <v>184</v>
      </c>
      <c r="C674" t="s">
        <v>11</v>
      </c>
      <c r="D674">
        <v>8</v>
      </c>
      <c r="E674" t="s">
        <v>33</v>
      </c>
      <c r="F674" t="s">
        <v>34</v>
      </c>
      <c r="G674">
        <v>52</v>
      </c>
      <c r="H674">
        <v>70</v>
      </c>
      <c r="I674" t="s">
        <v>19</v>
      </c>
      <c r="J674" t="str">
        <f>IF(Student_Data[[#This Row],[Marks]] &gt;= 90,"A+",IF(Student_Data[[#This Row],[Marks]]&gt;=80,"A",IF(Student_Data[[#This Row],[Marks]]&gt;=70,"B",IF(Student_Data[[#This Row],[Marks]]&gt;=60,"C","F"))))</f>
        <v>F</v>
      </c>
      <c r="K674" t="str">
        <f>IF(Student_Data[[#This Row],[Marks]]&gt;=35,"Pass","Fail")</f>
        <v>Pass</v>
      </c>
    </row>
    <row r="675" spans="1:11" x14ac:dyDescent="0.3">
      <c r="A675" t="s">
        <v>796</v>
      </c>
      <c r="B675" t="s">
        <v>63</v>
      </c>
      <c r="C675" t="s">
        <v>11</v>
      </c>
      <c r="D675">
        <v>12</v>
      </c>
      <c r="E675" t="s">
        <v>12</v>
      </c>
      <c r="F675" t="s">
        <v>43</v>
      </c>
      <c r="G675">
        <v>95</v>
      </c>
      <c r="H675">
        <v>80</v>
      </c>
      <c r="I675" t="s">
        <v>46</v>
      </c>
      <c r="J675" t="str">
        <f>IF(Student_Data[[#This Row],[Marks]] &gt;= 90,"A+",IF(Student_Data[[#This Row],[Marks]]&gt;=80,"A",IF(Student_Data[[#This Row],[Marks]]&gt;=70,"B",IF(Student_Data[[#This Row],[Marks]]&gt;=60,"C","F"))))</f>
        <v>A+</v>
      </c>
      <c r="K675" t="str">
        <f>IF(Student_Data[[#This Row],[Marks]]&gt;=35,"Pass","Fail")</f>
        <v>Pass</v>
      </c>
    </row>
    <row r="676" spans="1:11" x14ac:dyDescent="0.3">
      <c r="A676" t="s">
        <v>797</v>
      </c>
      <c r="B676" t="s">
        <v>224</v>
      </c>
      <c r="C676" t="s">
        <v>11</v>
      </c>
      <c r="D676">
        <v>10</v>
      </c>
      <c r="E676" t="s">
        <v>17</v>
      </c>
      <c r="F676" t="s">
        <v>26</v>
      </c>
      <c r="G676">
        <v>52</v>
      </c>
      <c r="H676">
        <v>83</v>
      </c>
      <c r="I676" t="s">
        <v>35</v>
      </c>
      <c r="J676" t="str">
        <f>IF(Student_Data[[#This Row],[Marks]] &gt;= 90,"A+",IF(Student_Data[[#This Row],[Marks]]&gt;=80,"A",IF(Student_Data[[#This Row],[Marks]]&gt;=70,"B",IF(Student_Data[[#This Row],[Marks]]&gt;=60,"C","F"))))</f>
        <v>F</v>
      </c>
      <c r="K676" t="str">
        <f>IF(Student_Data[[#This Row],[Marks]]&gt;=35,"Pass","Fail")</f>
        <v>Pass</v>
      </c>
    </row>
    <row r="677" spans="1:11" x14ac:dyDescent="0.3">
      <c r="A677" t="s">
        <v>798</v>
      </c>
      <c r="B677" t="s">
        <v>176</v>
      </c>
      <c r="C677" t="s">
        <v>11</v>
      </c>
      <c r="D677">
        <v>8</v>
      </c>
      <c r="E677" t="s">
        <v>17</v>
      </c>
      <c r="F677" t="s">
        <v>26</v>
      </c>
      <c r="G677">
        <v>70</v>
      </c>
      <c r="H677">
        <v>82</v>
      </c>
      <c r="I677" t="s">
        <v>49</v>
      </c>
      <c r="J677" t="str">
        <f>IF(Student_Data[[#This Row],[Marks]] &gt;= 90,"A+",IF(Student_Data[[#This Row],[Marks]]&gt;=80,"A",IF(Student_Data[[#This Row],[Marks]]&gt;=70,"B",IF(Student_Data[[#This Row],[Marks]]&gt;=60,"C","F"))))</f>
        <v>B</v>
      </c>
      <c r="K677" t="str">
        <f>IF(Student_Data[[#This Row],[Marks]]&gt;=35,"Pass","Fail")</f>
        <v>Pass</v>
      </c>
    </row>
    <row r="678" spans="1:11" x14ac:dyDescent="0.3">
      <c r="A678" t="s">
        <v>799</v>
      </c>
      <c r="B678" t="s">
        <v>380</v>
      </c>
      <c r="C678" t="s">
        <v>11</v>
      </c>
      <c r="D678">
        <v>6</v>
      </c>
      <c r="E678" t="s">
        <v>33</v>
      </c>
      <c r="F678" t="s">
        <v>22</v>
      </c>
      <c r="G678">
        <v>50</v>
      </c>
      <c r="H678">
        <v>68</v>
      </c>
      <c r="I678" t="s">
        <v>35</v>
      </c>
      <c r="J678" t="str">
        <f>IF(Student_Data[[#This Row],[Marks]] &gt;= 90,"A+",IF(Student_Data[[#This Row],[Marks]]&gt;=80,"A",IF(Student_Data[[#This Row],[Marks]]&gt;=70,"B",IF(Student_Data[[#This Row],[Marks]]&gt;=60,"C","F"))))</f>
        <v>F</v>
      </c>
      <c r="K678" t="str">
        <f>IF(Student_Data[[#This Row],[Marks]]&gt;=35,"Pass","Fail")</f>
        <v>Pass</v>
      </c>
    </row>
    <row r="679" spans="1:11" x14ac:dyDescent="0.3">
      <c r="A679" t="s">
        <v>800</v>
      </c>
      <c r="B679" t="s">
        <v>66</v>
      </c>
      <c r="C679" t="s">
        <v>25</v>
      </c>
      <c r="D679">
        <v>6</v>
      </c>
      <c r="E679" t="s">
        <v>12</v>
      </c>
      <c r="F679" t="s">
        <v>18</v>
      </c>
      <c r="G679">
        <v>51</v>
      </c>
      <c r="H679">
        <v>66</v>
      </c>
      <c r="I679" t="s">
        <v>49</v>
      </c>
      <c r="J679" t="str">
        <f>IF(Student_Data[[#This Row],[Marks]] &gt;= 90,"A+",IF(Student_Data[[#This Row],[Marks]]&gt;=80,"A",IF(Student_Data[[#This Row],[Marks]]&gt;=70,"B",IF(Student_Data[[#This Row],[Marks]]&gt;=60,"C","F"))))</f>
        <v>F</v>
      </c>
      <c r="K679" t="str">
        <f>IF(Student_Data[[#This Row],[Marks]]&gt;=35,"Pass","Fail")</f>
        <v>Pass</v>
      </c>
    </row>
    <row r="680" spans="1:11" x14ac:dyDescent="0.3">
      <c r="A680" t="s">
        <v>801</v>
      </c>
      <c r="B680" t="s">
        <v>401</v>
      </c>
      <c r="C680" t="s">
        <v>11</v>
      </c>
      <c r="D680">
        <v>8</v>
      </c>
      <c r="E680" t="s">
        <v>12</v>
      </c>
      <c r="F680" t="s">
        <v>43</v>
      </c>
      <c r="G680">
        <v>48</v>
      </c>
      <c r="H680">
        <v>84</v>
      </c>
      <c r="I680" t="s">
        <v>19</v>
      </c>
      <c r="J680" t="str">
        <f>IF(Student_Data[[#This Row],[Marks]] &gt;= 90,"A+",IF(Student_Data[[#This Row],[Marks]]&gt;=80,"A",IF(Student_Data[[#This Row],[Marks]]&gt;=70,"B",IF(Student_Data[[#This Row],[Marks]]&gt;=60,"C","F"))))</f>
        <v>F</v>
      </c>
      <c r="K680" t="str">
        <f>IF(Student_Data[[#This Row],[Marks]]&gt;=35,"Pass","Fail")</f>
        <v>Pass</v>
      </c>
    </row>
    <row r="681" spans="1:11" x14ac:dyDescent="0.3">
      <c r="A681" t="s">
        <v>802</v>
      </c>
      <c r="B681" t="s">
        <v>198</v>
      </c>
      <c r="C681" t="s">
        <v>25</v>
      </c>
      <c r="D681">
        <v>8</v>
      </c>
      <c r="E681" t="s">
        <v>12</v>
      </c>
      <c r="F681" t="s">
        <v>18</v>
      </c>
      <c r="G681">
        <v>61</v>
      </c>
      <c r="H681">
        <v>60</v>
      </c>
      <c r="I681" t="s">
        <v>40</v>
      </c>
      <c r="J681" t="str">
        <f>IF(Student_Data[[#This Row],[Marks]] &gt;= 90,"A+",IF(Student_Data[[#This Row],[Marks]]&gt;=80,"A",IF(Student_Data[[#This Row],[Marks]]&gt;=70,"B",IF(Student_Data[[#This Row],[Marks]]&gt;=60,"C","F"))))</f>
        <v>C</v>
      </c>
      <c r="K681" t="str">
        <f>IF(Student_Data[[#This Row],[Marks]]&gt;=35,"Pass","Fail")</f>
        <v>Pass</v>
      </c>
    </row>
    <row r="682" spans="1:11" x14ac:dyDescent="0.3">
      <c r="A682" t="s">
        <v>803</v>
      </c>
      <c r="B682" t="s">
        <v>182</v>
      </c>
      <c r="C682" t="s">
        <v>25</v>
      </c>
      <c r="D682">
        <v>8</v>
      </c>
      <c r="E682" t="s">
        <v>33</v>
      </c>
      <c r="F682" t="s">
        <v>13</v>
      </c>
      <c r="G682">
        <v>57</v>
      </c>
      <c r="H682">
        <v>84</v>
      </c>
      <c r="I682" t="s">
        <v>46</v>
      </c>
      <c r="J682" t="str">
        <f>IF(Student_Data[[#This Row],[Marks]] &gt;= 90,"A+",IF(Student_Data[[#This Row],[Marks]]&gt;=80,"A",IF(Student_Data[[#This Row],[Marks]]&gt;=70,"B",IF(Student_Data[[#This Row],[Marks]]&gt;=60,"C","F"))))</f>
        <v>F</v>
      </c>
      <c r="K682" t="str">
        <f>IF(Student_Data[[#This Row],[Marks]]&gt;=35,"Pass","Fail")</f>
        <v>Pass</v>
      </c>
    </row>
    <row r="683" spans="1:11" x14ac:dyDescent="0.3">
      <c r="A683" t="s">
        <v>804</v>
      </c>
      <c r="B683" t="s">
        <v>70</v>
      </c>
      <c r="C683" t="s">
        <v>11</v>
      </c>
      <c r="D683">
        <v>12</v>
      </c>
      <c r="E683" t="s">
        <v>12</v>
      </c>
      <c r="F683" t="s">
        <v>43</v>
      </c>
      <c r="G683">
        <v>39</v>
      </c>
      <c r="H683">
        <v>67</v>
      </c>
      <c r="I683" t="s">
        <v>14</v>
      </c>
      <c r="J683" t="str">
        <f>IF(Student_Data[[#This Row],[Marks]] &gt;= 90,"A+",IF(Student_Data[[#This Row],[Marks]]&gt;=80,"A",IF(Student_Data[[#This Row],[Marks]]&gt;=70,"B",IF(Student_Data[[#This Row],[Marks]]&gt;=60,"C","F"))))</f>
        <v>F</v>
      </c>
      <c r="K683" t="str">
        <f>IF(Student_Data[[#This Row],[Marks]]&gt;=35,"Pass","Fail")</f>
        <v>Pass</v>
      </c>
    </row>
    <row r="684" spans="1:11" x14ac:dyDescent="0.3">
      <c r="A684" t="s">
        <v>805</v>
      </c>
      <c r="B684" t="s">
        <v>230</v>
      </c>
      <c r="C684" t="s">
        <v>11</v>
      </c>
      <c r="D684">
        <v>10</v>
      </c>
      <c r="E684" t="s">
        <v>17</v>
      </c>
      <c r="F684" t="s">
        <v>22</v>
      </c>
      <c r="G684">
        <v>67</v>
      </c>
      <c r="H684">
        <v>70</v>
      </c>
      <c r="I684" t="s">
        <v>19</v>
      </c>
      <c r="J684" t="str">
        <f>IF(Student_Data[[#This Row],[Marks]] &gt;= 90,"A+",IF(Student_Data[[#This Row],[Marks]]&gt;=80,"A",IF(Student_Data[[#This Row],[Marks]]&gt;=70,"B",IF(Student_Data[[#This Row],[Marks]]&gt;=60,"C","F"))))</f>
        <v>C</v>
      </c>
      <c r="K684" t="str">
        <f>IF(Student_Data[[#This Row],[Marks]]&gt;=35,"Pass","Fail")</f>
        <v>Pass</v>
      </c>
    </row>
    <row r="685" spans="1:11" x14ac:dyDescent="0.3">
      <c r="A685" t="s">
        <v>806</v>
      </c>
      <c r="B685" t="s">
        <v>126</v>
      </c>
      <c r="C685" t="s">
        <v>25</v>
      </c>
      <c r="D685">
        <v>9</v>
      </c>
      <c r="E685" t="s">
        <v>33</v>
      </c>
      <c r="F685" t="s">
        <v>18</v>
      </c>
      <c r="G685">
        <v>35</v>
      </c>
      <c r="H685">
        <v>62</v>
      </c>
      <c r="I685" t="s">
        <v>31</v>
      </c>
      <c r="J685" t="str">
        <f>IF(Student_Data[[#This Row],[Marks]] &gt;= 90,"A+",IF(Student_Data[[#This Row],[Marks]]&gt;=80,"A",IF(Student_Data[[#This Row],[Marks]]&gt;=70,"B",IF(Student_Data[[#This Row],[Marks]]&gt;=60,"C","F"))))</f>
        <v>F</v>
      </c>
      <c r="K685" t="str">
        <f>IF(Student_Data[[#This Row],[Marks]]&gt;=35,"Pass","Fail")</f>
        <v>Pass</v>
      </c>
    </row>
    <row r="686" spans="1:11" x14ac:dyDescent="0.3">
      <c r="A686" t="s">
        <v>807</v>
      </c>
      <c r="B686" t="s">
        <v>70</v>
      </c>
      <c r="C686" t="s">
        <v>11</v>
      </c>
      <c r="D686">
        <v>12</v>
      </c>
      <c r="E686" t="s">
        <v>33</v>
      </c>
      <c r="F686" t="s">
        <v>13</v>
      </c>
      <c r="G686">
        <v>84</v>
      </c>
      <c r="H686">
        <v>91</v>
      </c>
      <c r="I686" t="s">
        <v>35</v>
      </c>
      <c r="J686" t="str">
        <f>IF(Student_Data[[#This Row],[Marks]] &gt;= 90,"A+",IF(Student_Data[[#This Row],[Marks]]&gt;=80,"A",IF(Student_Data[[#This Row],[Marks]]&gt;=70,"B",IF(Student_Data[[#This Row],[Marks]]&gt;=60,"C","F"))))</f>
        <v>A</v>
      </c>
      <c r="K686" t="str">
        <f>IF(Student_Data[[#This Row],[Marks]]&gt;=35,"Pass","Fail")</f>
        <v>Pass</v>
      </c>
    </row>
    <row r="687" spans="1:11" x14ac:dyDescent="0.3">
      <c r="A687" t="s">
        <v>808</v>
      </c>
      <c r="B687" t="s">
        <v>72</v>
      </c>
      <c r="C687" t="s">
        <v>11</v>
      </c>
      <c r="D687">
        <v>12</v>
      </c>
      <c r="E687" t="s">
        <v>12</v>
      </c>
      <c r="F687" t="s">
        <v>34</v>
      </c>
      <c r="G687">
        <v>94</v>
      </c>
      <c r="H687">
        <v>87</v>
      </c>
      <c r="I687" t="s">
        <v>46</v>
      </c>
      <c r="J687" t="str">
        <f>IF(Student_Data[[#This Row],[Marks]] &gt;= 90,"A+",IF(Student_Data[[#This Row],[Marks]]&gt;=80,"A",IF(Student_Data[[#This Row],[Marks]]&gt;=70,"B",IF(Student_Data[[#This Row],[Marks]]&gt;=60,"C","F"))))</f>
        <v>A+</v>
      </c>
      <c r="K687" t="str">
        <f>IF(Student_Data[[#This Row],[Marks]]&gt;=35,"Pass","Fail")</f>
        <v>Pass</v>
      </c>
    </row>
    <row r="688" spans="1:11" x14ac:dyDescent="0.3">
      <c r="A688" t="s">
        <v>809</v>
      </c>
      <c r="B688" t="s">
        <v>94</v>
      </c>
      <c r="C688" t="s">
        <v>25</v>
      </c>
      <c r="D688">
        <v>6</v>
      </c>
      <c r="E688" t="s">
        <v>33</v>
      </c>
      <c r="F688" t="s">
        <v>34</v>
      </c>
      <c r="G688">
        <v>94</v>
      </c>
      <c r="H688">
        <v>81</v>
      </c>
      <c r="I688" t="s">
        <v>40</v>
      </c>
      <c r="J688" t="str">
        <f>IF(Student_Data[[#This Row],[Marks]] &gt;= 90,"A+",IF(Student_Data[[#This Row],[Marks]]&gt;=80,"A",IF(Student_Data[[#This Row],[Marks]]&gt;=70,"B",IF(Student_Data[[#This Row],[Marks]]&gt;=60,"C","F"))))</f>
        <v>A+</v>
      </c>
      <c r="K688" t="str">
        <f>IF(Student_Data[[#This Row],[Marks]]&gt;=35,"Pass","Fail")</f>
        <v>Pass</v>
      </c>
    </row>
    <row r="689" spans="1:11" x14ac:dyDescent="0.3">
      <c r="A689" t="s">
        <v>810</v>
      </c>
      <c r="B689" t="s">
        <v>51</v>
      </c>
      <c r="C689" t="s">
        <v>25</v>
      </c>
      <c r="D689">
        <v>6</v>
      </c>
      <c r="E689" t="s">
        <v>33</v>
      </c>
      <c r="F689" t="s">
        <v>43</v>
      </c>
      <c r="G689">
        <v>95</v>
      </c>
      <c r="H689">
        <v>82</v>
      </c>
      <c r="I689" t="s">
        <v>46</v>
      </c>
      <c r="J689" t="str">
        <f>IF(Student_Data[[#This Row],[Marks]] &gt;= 90,"A+",IF(Student_Data[[#This Row],[Marks]]&gt;=80,"A",IF(Student_Data[[#This Row],[Marks]]&gt;=70,"B",IF(Student_Data[[#This Row],[Marks]]&gt;=60,"C","F"))))</f>
        <v>A+</v>
      </c>
      <c r="K689" t="str">
        <f>IF(Student_Data[[#This Row],[Marks]]&gt;=35,"Pass","Fail")</f>
        <v>Pass</v>
      </c>
    </row>
    <row r="690" spans="1:11" x14ac:dyDescent="0.3">
      <c r="A690" t="s">
        <v>811</v>
      </c>
      <c r="B690" t="s">
        <v>147</v>
      </c>
      <c r="C690" t="s">
        <v>25</v>
      </c>
      <c r="D690">
        <v>12</v>
      </c>
      <c r="E690" t="s">
        <v>33</v>
      </c>
      <c r="F690" t="s">
        <v>26</v>
      </c>
      <c r="G690">
        <v>44</v>
      </c>
      <c r="H690">
        <v>84</v>
      </c>
      <c r="I690" t="s">
        <v>14</v>
      </c>
      <c r="J690" t="str">
        <f>IF(Student_Data[[#This Row],[Marks]] &gt;= 90,"A+",IF(Student_Data[[#This Row],[Marks]]&gt;=80,"A",IF(Student_Data[[#This Row],[Marks]]&gt;=70,"B",IF(Student_Data[[#This Row],[Marks]]&gt;=60,"C","F"))))</f>
        <v>F</v>
      </c>
      <c r="K690" t="str">
        <f>IF(Student_Data[[#This Row],[Marks]]&gt;=35,"Pass","Fail")</f>
        <v>Pass</v>
      </c>
    </row>
    <row r="691" spans="1:11" x14ac:dyDescent="0.3">
      <c r="A691" t="s">
        <v>812</v>
      </c>
      <c r="B691" t="s">
        <v>68</v>
      </c>
      <c r="C691" t="s">
        <v>11</v>
      </c>
      <c r="D691">
        <v>11</v>
      </c>
      <c r="E691" t="s">
        <v>33</v>
      </c>
      <c r="F691" t="s">
        <v>22</v>
      </c>
      <c r="G691">
        <v>62</v>
      </c>
      <c r="H691">
        <v>70</v>
      </c>
      <c r="I691" t="s">
        <v>19</v>
      </c>
      <c r="J691" t="str">
        <f>IF(Student_Data[[#This Row],[Marks]] &gt;= 90,"A+",IF(Student_Data[[#This Row],[Marks]]&gt;=80,"A",IF(Student_Data[[#This Row],[Marks]]&gt;=70,"B",IF(Student_Data[[#This Row],[Marks]]&gt;=60,"C","F"))))</f>
        <v>C</v>
      </c>
      <c r="K691" t="str">
        <f>IF(Student_Data[[#This Row],[Marks]]&gt;=35,"Pass","Fail")</f>
        <v>Pass</v>
      </c>
    </row>
    <row r="692" spans="1:11" x14ac:dyDescent="0.3">
      <c r="A692" t="s">
        <v>813</v>
      </c>
      <c r="B692" t="s">
        <v>232</v>
      </c>
      <c r="C692" t="s">
        <v>11</v>
      </c>
      <c r="D692">
        <v>11</v>
      </c>
      <c r="E692" t="s">
        <v>12</v>
      </c>
      <c r="F692" t="s">
        <v>26</v>
      </c>
      <c r="G692">
        <v>78</v>
      </c>
      <c r="H692">
        <v>87</v>
      </c>
      <c r="I692" t="s">
        <v>19</v>
      </c>
      <c r="J692" t="str">
        <f>IF(Student_Data[[#This Row],[Marks]] &gt;= 90,"A+",IF(Student_Data[[#This Row],[Marks]]&gt;=80,"A",IF(Student_Data[[#This Row],[Marks]]&gt;=70,"B",IF(Student_Data[[#This Row],[Marks]]&gt;=60,"C","F"))))</f>
        <v>B</v>
      </c>
      <c r="K692" t="str">
        <f>IF(Student_Data[[#This Row],[Marks]]&gt;=35,"Pass","Fail")</f>
        <v>Pass</v>
      </c>
    </row>
    <row r="693" spans="1:11" x14ac:dyDescent="0.3">
      <c r="A693" t="s">
        <v>814</v>
      </c>
      <c r="B693" t="s">
        <v>59</v>
      </c>
      <c r="C693" t="s">
        <v>11</v>
      </c>
      <c r="D693">
        <v>11</v>
      </c>
      <c r="E693" t="s">
        <v>12</v>
      </c>
      <c r="F693" t="s">
        <v>43</v>
      </c>
      <c r="G693">
        <v>96</v>
      </c>
      <c r="H693">
        <v>92</v>
      </c>
      <c r="I693" t="s">
        <v>35</v>
      </c>
      <c r="J693" t="str">
        <f>IF(Student_Data[[#This Row],[Marks]] &gt;= 90,"A+",IF(Student_Data[[#This Row],[Marks]]&gt;=80,"A",IF(Student_Data[[#This Row],[Marks]]&gt;=70,"B",IF(Student_Data[[#This Row],[Marks]]&gt;=60,"C","F"))))</f>
        <v>A+</v>
      </c>
      <c r="K693" t="str">
        <f>IF(Student_Data[[#This Row],[Marks]]&gt;=35,"Pass","Fail")</f>
        <v>Pass</v>
      </c>
    </row>
    <row r="694" spans="1:11" x14ac:dyDescent="0.3">
      <c r="A694" t="s">
        <v>815</v>
      </c>
      <c r="B694" t="s">
        <v>57</v>
      </c>
      <c r="C694" t="s">
        <v>25</v>
      </c>
      <c r="D694">
        <v>7</v>
      </c>
      <c r="E694" t="s">
        <v>12</v>
      </c>
      <c r="F694" t="s">
        <v>34</v>
      </c>
      <c r="G694">
        <v>65</v>
      </c>
      <c r="H694">
        <v>98</v>
      </c>
      <c r="I694" t="s">
        <v>40</v>
      </c>
      <c r="J694" t="str">
        <f>IF(Student_Data[[#This Row],[Marks]] &gt;= 90,"A+",IF(Student_Data[[#This Row],[Marks]]&gt;=80,"A",IF(Student_Data[[#This Row],[Marks]]&gt;=70,"B",IF(Student_Data[[#This Row],[Marks]]&gt;=60,"C","F"))))</f>
        <v>C</v>
      </c>
      <c r="K694" t="str">
        <f>IF(Student_Data[[#This Row],[Marks]]&gt;=35,"Pass","Fail")</f>
        <v>Pass</v>
      </c>
    </row>
    <row r="695" spans="1:11" x14ac:dyDescent="0.3">
      <c r="A695" t="s">
        <v>816</v>
      </c>
      <c r="B695" t="s">
        <v>75</v>
      </c>
      <c r="C695" t="s">
        <v>11</v>
      </c>
      <c r="D695">
        <v>10</v>
      </c>
      <c r="E695" t="s">
        <v>12</v>
      </c>
      <c r="F695" t="s">
        <v>13</v>
      </c>
      <c r="G695">
        <v>44</v>
      </c>
      <c r="H695">
        <v>96</v>
      </c>
      <c r="I695" t="s">
        <v>46</v>
      </c>
      <c r="J695" t="str">
        <f>IF(Student_Data[[#This Row],[Marks]] &gt;= 90,"A+",IF(Student_Data[[#This Row],[Marks]]&gt;=80,"A",IF(Student_Data[[#This Row],[Marks]]&gt;=70,"B",IF(Student_Data[[#This Row],[Marks]]&gt;=60,"C","F"))))</f>
        <v>F</v>
      </c>
      <c r="K695" t="str">
        <f>IF(Student_Data[[#This Row],[Marks]]&gt;=35,"Pass","Fail")</f>
        <v>Pass</v>
      </c>
    </row>
    <row r="696" spans="1:11" x14ac:dyDescent="0.3">
      <c r="A696" t="s">
        <v>817</v>
      </c>
      <c r="B696" t="s">
        <v>228</v>
      </c>
      <c r="C696" t="s">
        <v>25</v>
      </c>
      <c r="D696">
        <v>11</v>
      </c>
      <c r="E696" t="s">
        <v>17</v>
      </c>
      <c r="F696" t="s">
        <v>26</v>
      </c>
      <c r="G696">
        <v>72</v>
      </c>
      <c r="H696">
        <v>70</v>
      </c>
      <c r="I696" t="s">
        <v>35</v>
      </c>
      <c r="J696" t="str">
        <f>IF(Student_Data[[#This Row],[Marks]] &gt;= 90,"A+",IF(Student_Data[[#This Row],[Marks]]&gt;=80,"A",IF(Student_Data[[#This Row],[Marks]]&gt;=70,"B",IF(Student_Data[[#This Row],[Marks]]&gt;=60,"C","F"))))</f>
        <v>B</v>
      </c>
      <c r="K696" t="str">
        <f>IF(Student_Data[[#This Row],[Marks]]&gt;=35,"Pass","Fail")</f>
        <v>Pass</v>
      </c>
    </row>
    <row r="697" spans="1:11" x14ac:dyDescent="0.3">
      <c r="A697" t="s">
        <v>818</v>
      </c>
      <c r="B697" t="s">
        <v>158</v>
      </c>
      <c r="C697" t="s">
        <v>25</v>
      </c>
      <c r="D697">
        <v>6</v>
      </c>
      <c r="E697" t="s">
        <v>12</v>
      </c>
      <c r="F697" t="s">
        <v>22</v>
      </c>
      <c r="G697">
        <v>50</v>
      </c>
      <c r="H697">
        <v>84</v>
      </c>
      <c r="I697" t="s">
        <v>49</v>
      </c>
      <c r="J697" t="str">
        <f>IF(Student_Data[[#This Row],[Marks]] &gt;= 90,"A+",IF(Student_Data[[#This Row],[Marks]]&gt;=80,"A",IF(Student_Data[[#This Row],[Marks]]&gt;=70,"B",IF(Student_Data[[#This Row],[Marks]]&gt;=60,"C","F"))))</f>
        <v>F</v>
      </c>
      <c r="K697" t="str">
        <f>IF(Student_Data[[#This Row],[Marks]]&gt;=35,"Pass","Fail")</f>
        <v>Pass</v>
      </c>
    </row>
    <row r="698" spans="1:11" x14ac:dyDescent="0.3">
      <c r="A698" t="s">
        <v>819</v>
      </c>
      <c r="B698" t="s">
        <v>143</v>
      </c>
      <c r="C698" t="s">
        <v>11</v>
      </c>
      <c r="D698">
        <v>11</v>
      </c>
      <c r="E698" t="s">
        <v>12</v>
      </c>
      <c r="F698" t="s">
        <v>26</v>
      </c>
      <c r="G698">
        <v>71</v>
      </c>
      <c r="H698">
        <v>75</v>
      </c>
      <c r="I698" t="s">
        <v>14</v>
      </c>
      <c r="J698" t="str">
        <f>IF(Student_Data[[#This Row],[Marks]] &gt;= 90,"A+",IF(Student_Data[[#This Row],[Marks]]&gt;=80,"A",IF(Student_Data[[#This Row],[Marks]]&gt;=70,"B",IF(Student_Data[[#This Row],[Marks]]&gt;=60,"C","F"))))</f>
        <v>B</v>
      </c>
      <c r="K698" t="str">
        <f>IF(Student_Data[[#This Row],[Marks]]&gt;=35,"Pass","Fail")</f>
        <v>Pass</v>
      </c>
    </row>
    <row r="699" spans="1:11" x14ac:dyDescent="0.3">
      <c r="A699" t="s">
        <v>820</v>
      </c>
      <c r="B699" t="s">
        <v>66</v>
      </c>
      <c r="C699" t="s">
        <v>11</v>
      </c>
      <c r="D699">
        <v>12</v>
      </c>
      <c r="E699" t="s">
        <v>17</v>
      </c>
      <c r="F699" t="s">
        <v>18</v>
      </c>
      <c r="G699">
        <v>56</v>
      </c>
      <c r="H699">
        <v>74</v>
      </c>
      <c r="I699" t="s">
        <v>35</v>
      </c>
      <c r="J699" t="str">
        <f>IF(Student_Data[[#This Row],[Marks]] &gt;= 90,"A+",IF(Student_Data[[#This Row],[Marks]]&gt;=80,"A",IF(Student_Data[[#This Row],[Marks]]&gt;=70,"B",IF(Student_Data[[#This Row],[Marks]]&gt;=60,"C","F"))))</f>
        <v>F</v>
      </c>
      <c r="K699" t="str">
        <f>IF(Student_Data[[#This Row],[Marks]]&gt;=35,"Pass","Fail")</f>
        <v>Pass</v>
      </c>
    </row>
    <row r="700" spans="1:11" x14ac:dyDescent="0.3">
      <c r="A700" t="s">
        <v>821</v>
      </c>
      <c r="B700" t="s">
        <v>129</v>
      </c>
      <c r="C700" t="s">
        <v>25</v>
      </c>
      <c r="D700">
        <v>7</v>
      </c>
      <c r="E700" t="s">
        <v>17</v>
      </c>
      <c r="F700" t="s">
        <v>13</v>
      </c>
      <c r="G700">
        <v>78</v>
      </c>
      <c r="H700">
        <v>81</v>
      </c>
      <c r="I700" t="s">
        <v>14</v>
      </c>
      <c r="J700" t="str">
        <f>IF(Student_Data[[#This Row],[Marks]] &gt;= 90,"A+",IF(Student_Data[[#This Row],[Marks]]&gt;=80,"A",IF(Student_Data[[#This Row],[Marks]]&gt;=70,"B",IF(Student_Data[[#This Row],[Marks]]&gt;=60,"C","F"))))</f>
        <v>B</v>
      </c>
      <c r="K700" t="str">
        <f>IF(Student_Data[[#This Row],[Marks]]&gt;=35,"Pass","Fail")</f>
        <v>Pass</v>
      </c>
    </row>
    <row r="701" spans="1:11" x14ac:dyDescent="0.3">
      <c r="A701" t="s">
        <v>822</v>
      </c>
      <c r="B701" t="s">
        <v>179</v>
      </c>
      <c r="C701" t="s">
        <v>11</v>
      </c>
      <c r="D701">
        <v>11</v>
      </c>
      <c r="E701" t="s">
        <v>17</v>
      </c>
      <c r="F701" t="s">
        <v>34</v>
      </c>
      <c r="G701">
        <v>61</v>
      </c>
      <c r="H701">
        <v>61</v>
      </c>
      <c r="I701" t="s">
        <v>46</v>
      </c>
      <c r="J701" t="str">
        <f>IF(Student_Data[[#This Row],[Marks]] &gt;= 90,"A+",IF(Student_Data[[#This Row],[Marks]]&gt;=80,"A",IF(Student_Data[[#This Row],[Marks]]&gt;=70,"B",IF(Student_Data[[#This Row],[Marks]]&gt;=60,"C","F"))))</f>
        <v>C</v>
      </c>
      <c r="K701" t="str">
        <f>IF(Student_Data[[#This Row],[Marks]]&gt;=35,"Pass","Fail")</f>
        <v>Pass</v>
      </c>
    </row>
    <row r="702" spans="1:11" x14ac:dyDescent="0.3">
      <c r="A702" t="s">
        <v>823</v>
      </c>
      <c r="B702" t="s">
        <v>221</v>
      </c>
      <c r="C702" t="s">
        <v>25</v>
      </c>
      <c r="D702">
        <v>7</v>
      </c>
      <c r="E702" t="s">
        <v>33</v>
      </c>
      <c r="F702" t="s">
        <v>13</v>
      </c>
      <c r="G702">
        <v>65</v>
      </c>
      <c r="H702">
        <v>92</v>
      </c>
      <c r="I702" t="s">
        <v>40</v>
      </c>
      <c r="J702" t="str">
        <f>IF(Student_Data[[#This Row],[Marks]] &gt;= 90,"A+",IF(Student_Data[[#This Row],[Marks]]&gt;=80,"A",IF(Student_Data[[#This Row],[Marks]]&gt;=70,"B",IF(Student_Data[[#This Row],[Marks]]&gt;=60,"C","F"))))</f>
        <v>C</v>
      </c>
      <c r="K702" t="str">
        <f>IF(Student_Data[[#This Row],[Marks]]&gt;=35,"Pass","Fail")</f>
        <v>Pass</v>
      </c>
    </row>
    <row r="703" spans="1:11" x14ac:dyDescent="0.3">
      <c r="A703" t="s">
        <v>824</v>
      </c>
      <c r="B703" t="s">
        <v>455</v>
      </c>
      <c r="C703" t="s">
        <v>25</v>
      </c>
      <c r="D703">
        <v>6</v>
      </c>
      <c r="E703" t="s">
        <v>12</v>
      </c>
      <c r="F703" t="s">
        <v>18</v>
      </c>
      <c r="G703">
        <v>70</v>
      </c>
      <c r="H703">
        <v>81</v>
      </c>
      <c r="I703" t="s">
        <v>40</v>
      </c>
      <c r="J703" t="str">
        <f>IF(Student_Data[[#This Row],[Marks]] &gt;= 90,"A+",IF(Student_Data[[#This Row],[Marks]]&gt;=80,"A",IF(Student_Data[[#This Row],[Marks]]&gt;=70,"B",IF(Student_Data[[#This Row],[Marks]]&gt;=60,"C","F"))))</f>
        <v>B</v>
      </c>
      <c r="K703" t="str">
        <f>IF(Student_Data[[#This Row],[Marks]]&gt;=35,"Pass","Fail")</f>
        <v>Pass</v>
      </c>
    </row>
    <row r="704" spans="1:11" x14ac:dyDescent="0.3">
      <c r="A704" t="s">
        <v>825</v>
      </c>
      <c r="B704" t="s">
        <v>236</v>
      </c>
      <c r="C704" t="s">
        <v>25</v>
      </c>
      <c r="D704">
        <v>11</v>
      </c>
      <c r="E704" t="s">
        <v>12</v>
      </c>
      <c r="F704" t="s">
        <v>22</v>
      </c>
      <c r="G704">
        <v>93</v>
      </c>
      <c r="H704">
        <v>93</v>
      </c>
      <c r="I704" t="s">
        <v>40</v>
      </c>
      <c r="J704" t="str">
        <f>IF(Student_Data[[#This Row],[Marks]] &gt;= 90,"A+",IF(Student_Data[[#This Row],[Marks]]&gt;=80,"A",IF(Student_Data[[#This Row],[Marks]]&gt;=70,"B",IF(Student_Data[[#This Row],[Marks]]&gt;=60,"C","F"))))</f>
        <v>A+</v>
      </c>
      <c r="K704" t="str">
        <f>IF(Student_Data[[#This Row],[Marks]]&gt;=35,"Pass","Fail")</f>
        <v>Pass</v>
      </c>
    </row>
    <row r="705" spans="1:11" x14ac:dyDescent="0.3">
      <c r="A705" t="s">
        <v>826</v>
      </c>
      <c r="B705" t="s">
        <v>452</v>
      </c>
      <c r="C705" t="s">
        <v>11</v>
      </c>
      <c r="D705">
        <v>9</v>
      </c>
      <c r="E705" t="s">
        <v>33</v>
      </c>
      <c r="F705" t="s">
        <v>22</v>
      </c>
      <c r="G705">
        <v>67</v>
      </c>
      <c r="H705">
        <v>88</v>
      </c>
      <c r="I705" t="s">
        <v>35</v>
      </c>
      <c r="J705" t="str">
        <f>IF(Student_Data[[#This Row],[Marks]] &gt;= 90,"A+",IF(Student_Data[[#This Row],[Marks]]&gt;=80,"A",IF(Student_Data[[#This Row],[Marks]]&gt;=70,"B",IF(Student_Data[[#This Row],[Marks]]&gt;=60,"C","F"))))</f>
        <v>C</v>
      </c>
      <c r="K705" t="str">
        <f>IF(Student_Data[[#This Row],[Marks]]&gt;=35,"Pass","Fail")</f>
        <v>Pass</v>
      </c>
    </row>
    <row r="706" spans="1:11" x14ac:dyDescent="0.3">
      <c r="A706" t="s">
        <v>827</v>
      </c>
      <c r="B706" t="s">
        <v>21</v>
      </c>
      <c r="C706" t="s">
        <v>25</v>
      </c>
      <c r="D706">
        <v>9</v>
      </c>
      <c r="E706" t="s">
        <v>17</v>
      </c>
      <c r="F706" t="s">
        <v>13</v>
      </c>
      <c r="G706">
        <v>43</v>
      </c>
      <c r="H706">
        <v>68</v>
      </c>
      <c r="I706" t="s">
        <v>19</v>
      </c>
      <c r="J706" t="str">
        <f>IF(Student_Data[[#This Row],[Marks]] &gt;= 90,"A+",IF(Student_Data[[#This Row],[Marks]]&gt;=80,"A",IF(Student_Data[[#This Row],[Marks]]&gt;=70,"B",IF(Student_Data[[#This Row],[Marks]]&gt;=60,"C","F"))))</f>
        <v>F</v>
      </c>
      <c r="K706" t="str">
        <f>IF(Student_Data[[#This Row],[Marks]]&gt;=35,"Pass","Fail")</f>
        <v>Pass</v>
      </c>
    </row>
    <row r="707" spans="1:11" x14ac:dyDescent="0.3">
      <c r="A707" t="s">
        <v>828</v>
      </c>
      <c r="B707" t="s">
        <v>232</v>
      </c>
      <c r="C707" t="s">
        <v>11</v>
      </c>
      <c r="D707">
        <v>8</v>
      </c>
      <c r="E707" t="s">
        <v>12</v>
      </c>
      <c r="F707" t="s">
        <v>26</v>
      </c>
      <c r="G707">
        <v>86</v>
      </c>
      <c r="H707">
        <v>78</v>
      </c>
      <c r="I707" t="s">
        <v>46</v>
      </c>
      <c r="J707" t="str">
        <f>IF(Student_Data[[#This Row],[Marks]] &gt;= 90,"A+",IF(Student_Data[[#This Row],[Marks]]&gt;=80,"A",IF(Student_Data[[#This Row],[Marks]]&gt;=70,"B",IF(Student_Data[[#This Row],[Marks]]&gt;=60,"C","F"))))</f>
        <v>A</v>
      </c>
      <c r="K707" t="str">
        <f>IF(Student_Data[[#This Row],[Marks]]&gt;=35,"Pass","Fail")</f>
        <v>Pass</v>
      </c>
    </row>
    <row r="708" spans="1:11" x14ac:dyDescent="0.3">
      <c r="A708" t="s">
        <v>829</v>
      </c>
      <c r="B708" t="s">
        <v>37</v>
      </c>
      <c r="C708" t="s">
        <v>25</v>
      </c>
      <c r="D708">
        <v>12</v>
      </c>
      <c r="E708" t="s">
        <v>17</v>
      </c>
      <c r="F708" t="s">
        <v>18</v>
      </c>
      <c r="G708">
        <v>41</v>
      </c>
      <c r="H708">
        <v>95</v>
      </c>
      <c r="I708" t="s">
        <v>14</v>
      </c>
      <c r="J708" t="str">
        <f>IF(Student_Data[[#This Row],[Marks]] &gt;= 90,"A+",IF(Student_Data[[#This Row],[Marks]]&gt;=80,"A",IF(Student_Data[[#This Row],[Marks]]&gt;=70,"B",IF(Student_Data[[#This Row],[Marks]]&gt;=60,"C","F"))))</f>
        <v>F</v>
      </c>
      <c r="K708" t="str">
        <f>IF(Student_Data[[#This Row],[Marks]]&gt;=35,"Pass","Fail")</f>
        <v>Pass</v>
      </c>
    </row>
    <row r="709" spans="1:11" x14ac:dyDescent="0.3">
      <c r="A709" t="s">
        <v>830</v>
      </c>
      <c r="B709" t="s">
        <v>254</v>
      </c>
      <c r="C709" t="s">
        <v>11</v>
      </c>
      <c r="D709">
        <v>10</v>
      </c>
      <c r="E709" t="s">
        <v>33</v>
      </c>
      <c r="F709" t="s">
        <v>13</v>
      </c>
      <c r="G709">
        <v>63</v>
      </c>
      <c r="H709">
        <v>99</v>
      </c>
      <c r="I709" t="s">
        <v>31</v>
      </c>
      <c r="J709" t="str">
        <f>IF(Student_Data[[#This Row],[Marks]] &gt;= 90,"A+",IF(Student_Data[[#This Row],[Marks]]&gt;=80,"A",IF(Student_Data[[#This Row],[Marks]]&gt;=70,"B",IF(Student_Data[[#This Row],[Marks]]&gt;=60,"C","F"))))</f>
        <v>C</v>
      </c>
      <c r="K709" t="str">
        <f>IF(Student_Data[[#This Row],[Marks]]&gt;=35,"Pass","Fail")</f>
        <v>Pass</v>
      </c>
    </row>
    <row r="710" spans="1:11" x14ac:dyDescent="0.3">
      <c r="A710" t="s">
        <v>831</v>
      </c>
      <c r="B710" t="s">
        <v>457</v>
      </c>
      <c r="C710" t="s">
        <v>25</v>
      </c>
      <c r="D710">
        <v>8</v>
      </c>
      <c r="E710" t="s">
        <v>33</v>
      </c>
      <c r="F710" t="s">
        <v>43</v>
      </c>
      <c r="G710">
        <v>45</v>
      </c>
      <c r="H710">
        <v>99</v>
      </c>
      <c r="I710" t="s">
        <v>31</v>
      </c>
      <c r="J710" t="str">
        <f>IF(Student_Data[[#This Row],[Marks]] &gt;= 90,"A+",IF(Student_Data[[#This Row],[Marks]]&gt;=80,"A",IF(Student_Data[[#This Row],[Marks]]&gt;=70,"B",IF(Student_Data[[#This Row],[Marks]]&gt;=60,"C","F"))))</f>
        <v>F</v>
      </c>
      <c r="K710" t="str">
        <f>IF(Student_Data[[#This Row],[Marks]]&gt;=35,"Pass","Fail")</f>
        <v>Pass</v>
      </c>
    </row>
    <row r="711" spans="1:11" x14ac:dyDescent="0.3">
      <c r="A711" t="s">
        <v>832</v>
      </c>
      <c r="B711" t="s">
        <v>242</v>
      </c>
      <c r="C711" t="s">
        <v>11</v>
      </c>
      <c r="D711">
        <v>7</v>
      </c>
      <c r="E711" t="s">
        <v>33</v>
      </c>
      <c r="F711" t="s">
        <v>26</v>
      </c>
      <c r="G711">
        <v>77</v>
      </c>
      <c r="H711">
        <v>100</v>
      </c>
      <c r="I711" t="s">
        <v>40</v>
      </c>
      <c r="J711" t="str">
        <f>IF(Student_Data[[#This Row],[Marks]] &gt;= 90,"A+",IF(Student_Data[[#This Row],[Marks]]&gt;=80,"A",IF(Student_Data[[#This Row],[Marks]]&gt;=70,"B",IF(Student_Data[[#This Row],[Marks]]&gt;=60,"C","F"))))</f>
        <v>B</v>
      </c>
      <c r="K711" t="str">
        <f>IF(Student_Data[[#This Row],[Marks]]&gt;=35,"Pass","Fail")</f>
        <v>Pass</v>
      </c>
    </row>
    <row r="712" spans="1:11" x14ac:dyDescent="0.3">
      <c r="A712" t="s">
        <v>833</v>
      </c>
      <c r="B712" t="s">
        <v>53</v>
      </c>
      <c r="C712" t="s">
        <v>25</v>
      </c>
      <c r="D712">
        <v>6</v>
      </c>
      <c r="E712" t="s">
        <v>17</v>
      </c>
      <c r="F712" t="s">
        <v>34</v>
      </c>
      <c r="G712">
        <v>86</v>
      </c>
      <c r="H712">
        <v>60</v>
      </c>
      <c r="I712" t="s">
        <v>46</v>
      </c>
      <c r="J712" t="str">
        <f>IF(Student_Data[[#This Row],[Marks]] &gt;= 90,"A+",IF(Student_Data[[#This Row],[Marks]]&gt;=80,"A",IF(Student_Data[[#This Row],[Marks]]&gt;=70,"B",IF(Student_Data[[#This Row],[Marks]]&gt;=60,"C","F"))))</f>
        <v>A</v>
      </c>
      <c r="K712" t="str">
        <f>IF(Student_Data[[#This Row],[Marks]]&gt;=35,"Pass","Fail")</f>
        <v>Pass</v>
      </c>
    </row>
    <row r="713" spans="1:11" x14ac:dyDescent="0.3">
      <c r="A713" t="s">
        <v>834</v>
      </c>
      <c r="B713" t="s">
        <v>211</v>
      </c>
      <c r="C713" t="s">
        <v>25</v>
      </c>
      <c r="D713">
        <v>12</v>
      </c>
      <c r="E713" t="s">
        <v>33</v>
      </c>
      <c r="F713" t="s">
        <v>43</v>
      </c>
      <c r="G713">
        <v>49</v>
      </c>
      <c r="H713">
        <v>98</v>
      </c>
      <c r="I713" t="s">
        <v>46</v>
      </c>
      <c r="J713" t="str">
        <f>IF(Student_Data[[#This Row],[Marks]] &gt;= 90,"A+",IF(Student_Data[[#This Row],[Marks]]&gt;=80,"A",IF(Student_Data[[#This Row],[Marks]]&gt;=70,"B",IF(Student_Data[[#This Row],[Marks]]&gt;=60,"C","F"))))</f>
        <v>F</v>
      </c>
      <c r="K713" t="str">
        <f>IF(Student_Data[[#This Row],[Marks]]&gt;=35,"Pass","Fail")</f>
        <v>Pass</v>
      </c>
    </row>
    <row r="714" spans="1:11" x14ac:dyDescent="0.3">
      <c r="A714" t="s">
        <v>835</v>
      </c>
      <c r="B714" t="s">
        <v>232</v>
      </c>
      <c r="C714" t="s">
        <v>11</v>
      </c>
      <c r="D714">
        <v>10</v>
      </c>
      <c r="E714" t="s">
        <v>12</v>
      </c>
      <c r="F714" t="s">
        <v>22</v>
      </c>
      <c r="G714">
        <v>60</v>
      </c>
      <c r="H714">
        <v>63</v>
      </c>
      <c r="I714" t="s">
        <v>49</v>
      </c>
      <c r="J714" t="str">
        <f>IF(Student_Data[[#This Row],[Marks]] &gt;= 90,"A+",IF(Student_Data[[#This Row],[Marks]]&gt;=80,"A",IF(Student_Data[[#This Row],[Marks]]&gt;=70,"B",IF(Student_Data[[#This Row],[Marks]]&gt;=60,"C","F"))))</f>
        <v>C</v>
      </c>
      <c r="K714" t="str">
        <f>IF(Student_Data[[#This Row],[Marks]]&gt;=35,"Pass","Fail")</f>
        <v>Pass</v>
      </c>
    </row>
    <row r="715" spans="1:11" x14ac:dyDescent="0.3">
      <c r="A715" t="s">
        <v>836</v>
      </c>
      <c r="B715" t="s">
        <v>37</v>
      </c>
      <c r="C715" t="s">
        <v>11</v>
      </c>
      <c r="D715">
        <v>8</v>
      </c>
      <c r="E715" t="s">
        <v>17</v>
      </c>
      <c r="F715" t="s">
        <v>43</v>
      </c>
      <c r="G715">
        <v>71</v>
      </c>
      <c r="H715">
        <v>64</v>
      </c>
      <c r="I715" t="s">
        <v>19</v>
      </c>
      <c r="J715" t="str">
        <f>IF(Student_Data[[#This Row],[Marks]] &gt;= 90,"A+",IF(Student_Data[[#This Row],[Marks]]&gt;=80,"A",IF(Student_Data[[#This Row],[Marks]]&gt;=70,"B",IF(Student_Data[[#This Row],[Marks]]&gt;=60,"C","F"))))</f>
        <v>B</v>
      </c>
      <c r="K715" t="str">
        <f>IF(Student_Data[[#This Row],[Marks]]&gt;=35,"Pass","Fail")</f>
        <v>Pass</v>
      </c>
    </row>
    <row r="716" spans="1:11" x14ac:dyDescent="0.3">
      <c r="A716" t="s">
        <v>837</v>
      </c>
      <c r="B716" t="s">
        <v>173</v>
      </c>
      <c r="C716" t="s">
        <v>11</v>
      </c>
      <c r="D716">
        <v>8</v>
      </c>
      <c r="E716" t="s">
        <v>33</v>
      </c>
      <c r="F716" t="s">
        <v>18</v>
      </c>
      <c r="G716">
        <v>81</v>
      </c>
      <c r="H716">
        <v>92</v>
      </c>
      <c r="I716" t="s">
        <v>14</v>
      </c>
      <c r="J716" t="str">
        <f>IF(Student_Data[[#This Row],[Marks]] &gt;= 90,"A+",IF(Student_Data[[#This Row],[Marks]]&gt;=80,"A",IF(Student_Data[[#This Row],[Marks]]&gt;=70,"B",IF(Student_Data[[#This Row],[Marks]]&gt;=60,"C","F"))))</f>
        <v>A</v>
      </c>
      <c r="K716" t="str">
        <f>IF(Student_Data[[#This Row],[Marks]]&gt;=35,"Pass","Fail")</f>
        <v>Pass</v>
      </c>
    </row>
    <row r="717" spans="1:11" x14ac:dyDescent="0.3">
      <c r="A717" t="s">
        <v>838</v>
      </c>
      <c r="B717" t="s">
        <v>383</v>
      </c>
      <c r="C717" t="s">
        <v>11</v>
      </c>
      <c r="D717">
        <v>7</v>
      </c>
      <c r="E717" t="s">
        <v>12</v>
      </c>
      <c r="F717" t="s">
        <v>18</v>
      </c>
      <c r="G717">
        <v>73</v>
      </c>
      <c r="H717">
        <v>77</v>
      </c>
      <c r="I717" t="s">
        <v>19</v>
      </c>
      <c r="J717" t="str">
        <f>IF(Student_Data[[#This Row],[Marks]] &gt;= 90,"A+",IF(Student_Data[[#This Row],[Marks]]&gt;=80,"A",IF(Student_Data[[#This Row],[Marks]]&gt;=70,"B",IF(Student_Data[[#This Row],[Marks]]&gt;=60,"C","F"))))</f>
        <v>B</v>
      </c>
      <c r="K717" t="str">
        <f>IF(Student_Data[[#This Row],[Marks]]&gt;=35,"Pass","Fail")</f>
        <v>Pass</v>
      </c>
    </row>
    <row r="718" spans="1:11" x14ac:dyDescent="0.3">
      <c r="A718" t="s">
        <v>839</v>
      </c>
      <c r="B718" t="s">
        <v>109</v>
      </c>
      <c r="C718" t="s">
        <v>25</v>
      </c>
      <c r="D718">
        <v>9</v>
      </c>
      <c r="E718" t="s">
        <v>12</v>
      </c>
      <c r="F718" t="s">
        <v>22</v>
      </c>
      <c r="G718">
        <v>40</v>
      </c>
      <c r="H718">
        <v>95</v>
      </c>
      <c r="I718" t="s">
        <v>31</v>
      </c>
      <c r="J718" t="str">
        <f>IF(Student_Data[[#This Row],[Marks]] &gt;= 90,"A+",IF(Student_Data[[#This Row],[Marks]]&gt;=80,"A",IF(Student_Data[[#This Row],[Marks]]&gt;=70,"B",IF(Student_Data[[#This Row],[Marks]]&gt;=60,"C","F"))))</f>
        <v>F</v>
      </c>
      <c r="K718" t="str">
        <f>IF(Student_Data[[#This Row],[Marks]]&gt;=35,"Pass","Fail")</f>
        <v>Pass</v>
      </c>
    </row>
    <row r="719" spans="1:11" x14ac:dyDescent="0.3">
      <c r="A719" t="s">
        <v>840</v>
      </c>
      <c r="B719" t="s">
        <v>80</v>
      </c>
      <c r="C719" t="s">
        <v>25</v>
      </c>
      <c r="D719">
        <v>12</v>
      </c>
      <c r="E719" t="s">
        <v>33</v>
      </c>
      <c r="F719" t="s">
        <v>18</v>
      </c>
      <c r="G719">
        <v>78</v>
      </c>
      <c r="H719">
        <v>82</v>
      </c>
      <c r="I719" t="s">
        <v>31</v>
      </c>
      <c r="J719" t="str">
        <f>IF(Student_Data[[#This Row],[Marks]] &gt;= 90,"A+",IF(Student_Data[[#This Row],[Marks]]&gt;=80,"A",IF(Student_Data[[#This Row],[Marks]]&gt;=70,"B",IF(Student_Data[[#This Row],[Marks]]&gt;=60,"C","F"))))</f>
        <v>B</v>
      </c>
      <c r="K719" t="str">
        <f>IF(Student_Data[[#This Row],[Marks]]&gt;=35,"Pass","Fail")</f>
        <v>Pass</v>
      </c>
    </row>
    <row r="720" spans="1:11" x14ac:dyDescent="0.3">
      <c r="A720" t="s">
        <v>841</v>
      </c>
      <c r="B720" t="s">
        <v>173</v>
      </c>
      <c r="C720" t="s">
        <v>11</v>
      </c>
      <c r="D720">
        <v>10</v>
      </c>
      <c r="E720" t="s">
        <v>17</v>
      </c>
      <c r="F720" t="s">
        <v>43</v>
      </c>
      <c r="G720">
        <v>97</v>
      </c>
      <c r="H720">
        <v>96</v>
      </c>
      <c r="I720" t="s">
        <v>40</v>
      </c>
      <c r="J720" t="str">
        <f>IF(Student_Data[[#This Row],[Marks]] &gt;= 90,"A+",IF(Student_Data[[#This Row],[Marks]]&gt;=80,"A",IF(Student_Data[[#This Row],[Marks]]&gt;=70,"B",IF(Student_Data[[#This Row],[Marks]]&gt;=60,"C","F"))))</f>
        <v>A+</v>
      </c>
      <c r="K720" t="str">
        <f>IF(Student_Data[[#This Row],[Marks]]&gt;=35,"Pass","Fail")</f>
        <v>Pass</v>
      </c>
    </row>
    <row r="721" spans="1:11" x14ac:dyDescent="0.3">
      <c r="A721" t="s">
        <v>842</v>
      </c>
      <c r="B721" t="s">
        <v>432</v>
      </c>
      <c r="C721" t="s">
        <v>25</v>
      </c>
      <c r="D721">
        <v>6</v>
      </c>
      <c r="E721" t="s">
        <v>12</v>
      </c>
      <c r="F721" t="s">
        <v>13</v>
      </c>
      <c r="G721">
        <v>92</v>
      </c>
      <c r="H721">
        <v>79</v>
      </c>
      <c r="I721" t="s">
        <v>46</v>
      </c>
      <c r="J721" t="str">
        <f>IF(Student_Data[[#This Row],[Marks]] &gt;= 90,"A+",IF(Student_Data[[#This Row],[Marks]]&gt;=80,"A",IF(Student_Data[[#This Row],[Marks]]&gt;=70,"B",IF(Student_Data[[#This Row],[Marks]]&gt;=60,"C","F"))))</f>
        <v>A+</v>
      </c>
      <c r="K721" t="str">
        <f>IF(Student_Data[[#This Row],[Marks]]&gt;=35,"Pass","Fail")</f>
        <v>Pass</v>
      </c>
    </row>
    <row r="722" spans="1:11" x14ac:dyDescent="0.3">
      <c r="A722" t="s">
        <v>843</v>
      </c>
      <c r="B722" t="s">
        <v>285</v>
      </c>
      <c r="C722" t="s">
        <v>11</v>
      </c>
      <c r="D722">
        <v>8</v>
      </c>
      <c r="E722" t="s">
        <v>17</v>
      </c>
      <c r="F722" t="s">
        <v>18</v>
      </c>
      <c r="G722">
        <v>86</v>
      </c>
      <c r="H722">
        <v>87</v>
      </c>
      <c r="I722" t="s">
        <v>31</v>
      </c>
      <c r="J722" t="str">
        <f>IF(Student_Data[[#This Row],[Marks]] &gt;= 90,"A+",IF(Student_Data[[#This Row],[Marks]]&gt;=80,"A",IF(Student_Data[[#This Row],[Marks]]&gt;=70,"B",IF(Student_Data[[#This Row],[Marks]]&gt;=60,"C","F"))))</f>
        <v>A</v>
      </c>
      <c r="K722" t="str">
        <f>IF(Student_Data[[#This Row],[Marks]]&gt;=35,"Pass","Fail")</f>
        <v>Pass</v>
      </c>
    </row>
    <row r="723" spans="1:11" x14ac:dyDescent="0.3">
      <c r="A723" t="s">
        <v>844</v>
      </c>
      <c r="B723" t="s">
        <v>10</v>
      </c>
      <c r="C723" t="s">
        <v>11</v>
      </c>
      <c r="D723">
        <v>11</v>
      </c>
      <c r="E723" t="s">
        <v>12</v>
      </c>
      <c r="F723" t="s">
        <v>34</v>
      </c>
      <c r="G723">
        <v>74</v>
      </c>
      <c r="H723">
        <v>61</v>
      </c>
      <c r="I723" t="s">
        <v>46</v>
      </c>
      <c r="J723" t="str">
        <f>IF(Student_Data[[#This Row],[Marks]] &gt;= 90,"A+",IF(Student_Data[[#This Row],[Marks]]&gt;=80,"A",IF(Student_Data[[#This Row],[Marks]]&gt;=70,"B",IF(Student_Data[[#This Row],[Marks]]&gt;=60,"C","F"))))</f>
        <v>B</v>
      </c>
      <c r="K723" t="str">
        <f>IF(Student_Data[[#This Row],[Marks]]&gt;=35,"Pass","Fail")</f>
        <v>Pass</v>
      </c>
    </row>
    <row r="724" spans="1:11" x14ac:dyDescent="0.3">
      <c r="A724" t="s">
        <v>845</v>
      </c>
      <c r="B724" t="s">
        <v>242</v>
      </c>
      <c r="C724" t="s">
        <v>11</v>
      </c>
      <c r="D724">
        <v>10</v>
      </c>
      <c r="E724" t="s">
        <v>33</v>
      </c>
      <c r="F724" t="s">
        <v>43</v>
      </c>
      <c r="G724">
        <v>51</v>
      </c>
      <c r="H724">
        <v>64</v>
      </c>
      <c r="I724" t="s">
        <v>35</v>
      </c>
      <c r="J724" t="str">
        <f>IF(Student_Data[[#This Row],[Marks]] &gt;= 90,"A+",IF(Student_Data[[#This Row],[Marks]]&gt;=80,"A",IF(Student_Data[[#This Row],[Marks]]&gt;=70,"B",IF(Student_Data[[#This Row],[Marks]]&gt;=60,"C","F"))))</f>
        <v>F</v>
      </c>
      <c r="K724" t="str">
        <f>IF(Student_Data[[#This Row],[Marks]]&gt;=35,"Pass","Fail")</f>
        <v>Pass</v>
      </c>
    </row>
    <row r="725" spans="1:11" x14ac:dyDescent="0.3">
      <c r="A725" t="s">
        <v>846</v>
      </c>
      <c r="B725" t="s">
        <v>423</v>
      </c>
      <c r="C725" t="s">
        <v>25</v>
      </c>
      <c r="D725">
        <v>7</v>
      </c>
      <c r="E725" t="s">
        <v>12</v>
      </c>
      <c r="F725" t="s">
        <v>13</v>
      </c>
      <c r="G725">
        <v>35</v>
      </c>
      <c r="H725">
        <v>64</v>
      </c>
      <c r="I725" t="s">
        <v>40</v>
      </c>
      <c r="J725" t="str">
        <f>IF(Student_Data[[#This Row],[Marks]] &gt;= 90,"A+",IF(Student_Data[[#This Row],[Marks]]&gt;=80,"A",IF(Student_Data[[#This Row],[Marks]]&gt;=70,"B",IF(Student_Data[[#This Row],[Marks]]&gt;=60,"C","F"))))</f>
        <v>F</v>
      </c>
      <c r="K725" t="str">
        <f>IF(Student_Data[[#This Row],[Marks]]&gt;=35,"Pass","Fail")</f>
        <v>Pass</v>
      </c>
    </row>
    <row r="726" spans="1:11" x14ac:dyDescent="0.3">
      <c r="A726" t="s">
        <v>847</v>
      </c>
      <c r="B726" t="s">
        <v>242</v>
      </c>
      <c r="C726" t="s">
        <v>25</v>
      </c>
      <c r="D726">
        <v>11</v>
      </c>
      <c r="E726" t="s">
        <v>17</v>
      </c>
      <c r="F726" t="s">
        <v>22</v>
      </c>
      <c r="G726">
        <v>98</v>
      </c>
      <c r="H726">
        <v>74</v>
      </c>
      <c r="I726" t="s">
        <v>49</v>
      </c>
      <c r="J726" t="str">
        <f>IF(Student_Data[[#This Row],[Marks]] &gt;= 90,"A+",IF(Student_Data[[#This Row],[Marks]]&gt;=80,"A",IF(Student_Data[[#This Row],[Marks]]&gt;=70,"B",IF(Student_Data[[#This Row],[Marks]]&gt;=60,"C","F"))))</f>
        <v>A+</v>
      </c>
      <c r="K726" t="str">
        <f>IF(Student_Data[[#This Row],[Marks]]&gt;=35,"Pass","Fail")</f>
        <v>Pass</v>
      </c>
    </row>
    <row r="727" spans="1:11" x14ac:dyDescent="0.3">
      <c r="A727" t="s">
        <v>848</v>
      </c>
      <c r="B727" t="s">
        <v>176</v>
      </c>
      <c r="C727" t="s">
        <v>25</v>
      </c>
      <c r="D727">
        <v>12</v>
      </c>
      <c r="E727" t="s">
        <v>12</v>
      </c>
      <c r="F727" t="s">
        <v>22</v>
      </c>
      <c r="G727">
        <v>50</v>
      </c>
      <c r="H727">
        <v>75</v>
      </c>
      <c r="I727" t="s">
        <v>40</v>
      </c>
      <c r="J727" t="str">
        <f>IF(Student_Data[[#This Row],[Marks]] &gt;= 90,"A+",IF(Student_Data[[#This Row],[Marks]]&gt;=80,"A",IF(Student_Data[[#This Row],[Marks]]&gt;=70,"B",IF(Student_Data[[#This Row],[Marks]]&gt;=60,"C","F"))))</f>
        <v>F</v>
      </c>
      <c r="K727" t="str">
        <f>IF(Student_Data[[#This Row],[Marks]]&gt;=35,"Pass","Fail")</f>
        <v>Pass</v>
      </c>
    </row>
    <row r="728" spans="1:11" x14ac:dyDescent="0.3">
      <c r="A728" t="s">
        <v>849</v>
      </c>
      <c r="B728" t="s">
        <v>239</v>
      </c>
      <c r="C728" t="s">
        <v>11</v>
      </c>
      <c r="D728">
        <v>11</v>
      </c>
      <c r="E728" t="s">
        <v>33</v>
      </c>
      <c r="F728" t="s">
        <v>43</v>
      </c>
      <c r="G728">
        <v>70</v>
      </c>
      <c r="H728">
        <v>93</v>
      </c>
      <c r="I728" t="s">
        <v>19</v>
      </c>
      <c r="J728" t="str">
        <f>IF(Student_Data[[#This Row],[Marks]] &gt;= 90,"A+",IF(Student_Data[[#This Row],[Marks]]&gt;=80,"A",IF(Student_Data[[#This Row],[Marks]]&gt;=70,"B",IF(Student_Data[[#This Row],[Marks]]&gt;=60,"C","F"))))</f>
        <v>B</v>
      </c>
      <c r="K728" t="str">
        <f>IF(Student_Data[[#This Row],[Marks]]&gt;=35,"Pass","Fail")</f>
        <v>Pass</v>
      </c>
    </row>
    <row r="729" spans="1:11" x14ac:dyDescent="0.3">
      <c r="A729" t="s">
        <v>850</v>
      </c>
      <c r="B729" t="s">
        <v>84</v>
      </c>
      <c r="C729" t="s">
        <v>11</v>
      </c>
      <c r="D729">
        <v>8</v>
      </c>
      <c r="E729" t="s">
        <v>33</v>
      </c>
      <c r="F729" t="s">
        <v>13</v>
      </c>
      <c r="G729">
        <v>35</v>
      </c>
      <c r="H729">
        <v>60</v>
      </c>
      <c r="I729" t="s">
        <v>35</v>
      </c>
      <c r="J729" t="str">
        <f>IF(Student_Data[[#This Row],[Marks]] &gt;= 90,"A+",IF(Student_Data[[#This Row],[Marks]]&gt;=80,"A",IF(Student_Data[[#This Row],[Marks]]&gt;=70,"B",IF(Student_Data[[#This Row],[Marks]]&gt;=60,"C","F"))))</f>
        <v>F</v>
      </c>
      <c r="K729" t="str">
        <f>IF(Student_Data[[#This Row],[Marks]]&gt;=35,"Pass","Fail")</f>
        <v>Pass</v>
      </c>
    </row>
    <row r="730" spans="1:11" x14ac:dyDescent="0.3">
      <c r="A730" t="s">
        <v>851</v>
      </c>
      <c r="B730" t="s">
        <v>285</v>
      </c>
      <c r="C730" t="s">
        <v>25</v>
      </c>
      <c r="D730">
        <v>9</v>
      </c>
      <c r="E730" t="s">
        <v>12</v>
      </c>
      <c r="F730" t="s">
        <v>43</v>
      </c>
      <c r="G730">
        <v>38</v>
      </c>
      <c r="H730">
        <v>66</v>
      </c>
      <c r="I730" t="s">
        <v>40</v>
      </c>
      <c r="J730" t="str">
        <f>IF(Student_Data[[#This Row],[Marks]] &gt;= 90,"A+",IF(Student_Data[[#This Row],[Marks]]&gt;=80,"A",IF(Student_Data[[#This Row],[Marks]]&gt;=70,"B",IF(Student_Data[[#This Row],[Marks]]&gt;=60,"C","F"))))</f>
        <v>F</v>
      </c>
      <c r="K730" t="str">
        <f>IF(Student_Data[[#This Row],[Marks]]&gt;=35,"Pass","Fail")</f>
        <v>Pass</v>
      </c>
    </row>
    <row r="731" spans="1:11" x14ac:dyDescent="0.3">
      <c r="A731" t="s">
        <v>852</v>
      </c>
      <c r="B731" t="s">
        <v>143</v>
      </c>
      <c r="C731" t="s">
        <v>11</v>
      </c>
      <c r="D731">
        <v>9</v>
      </c>
      <c r="E731" t="s">
        <v>17</v>
      </c>
      <c r="F731" t="s">
        <v>18</v>
      </c>
      <c r="G731">
        <v>79</v>
      </c>
      <c r="H731">
        <v>76</v>
      </c>
      <c r="I731" t="s">
        <v>46</v>
      </c>
      <c r="J731" t="str">
        <f>IF(Student_Data[[#This Row],[Marks]] &gt;= 90,"A+",IF(Student_Data[[#This Row],[Marks]]&gt;=80,"A",IF(Student_Data[[#This Row],[Marks]]&gt;=70,"B",IF(Student_Data[[#This Row],[Marks]]&gt;=60,"C","F"))))</f>
        <v>B</v>
      </c>
      <c r="K731" t="str">
        <f>IF(Student_Data[[#This Row],[Marks]]&gt;=35,"Pass","Fail")</f>
        <v>Pass</v>
      </c>
    </row>
    <row r="732" spans="1:11" x14ac:dyDescent="0.3">
      <c r="A732" t="s">
        <v>853</v>
      </c>
      <c r="B732" t="s">
        <v>104</v>
      </c>
      <c r="C732" t="s">
        <v>25</v>
      </c>
      <c r="D732">
        <v>9</v>
      </c>
      <c r="E732" t="s">
        <v>33</v>
      </c>
      <c r="F732" t="s">
        <v>22</v>
      </c>
      <c r="G732">
        <v>77</v>
      </c>
      <c r="H732">
        <v>80</v>
      </c>
      <c r="I732" t="s">
        <v>31</v>
      </c>
      <c r="J732" t="str">
        <f>IF(Student_Data[[#This Row],[Marks]] &gt;= 90,"A+",IF(Student_Data[[#This Row],[Marks]]&gt;=80,"A",IF(Student_Data[[#This Row],[Marks]]&gt;=70,"B",IF(Student_Data[[#This Row],[Marks]]&gt;=60,"C","F"))))</f>
        <v>B</v>
      </c>
      <c r="K732" t="str">
        <f>IF(Student_Data[[#This Row],[Marks]]&gt;=35,"Pass","Fail")</f>
        <v>Pass</v>
      </c>
    </row>
    <row r="733" spans="1:11" x14ac:dyDescent="0.3">
      <c r="A733" t="s">
        <v>854</v>
      </c>
      <c r="B733" t="s">
        <v>135</v>
      </c>
      <c r="C733" t="s">
        <v>11</v>
      </c>
      <c r="D733">
        <v>9</v>
      </c>
      <c r="E733" t="s">
        <v>12</v>
      </c>
      <c r="F733" t="s">
        <v>18</v>
      </c>
      <c r="G733">
        <v>71</v>
      </c>
      <c r="H733">
        <v>69</v>
      </c>
      <c r="I733" t="s">
        <v>40</v>
      </c>
      <c r="J733" t="str">
        <f>IF(Student_Data[[#This Row],[Marks]] &gt;= 90,"A+",IF(Student_Data[[#This Row],[Marks]]&gt;=80,"A",IF(Student_Data[[#This Row],[Marks]]&gt;=70,"B",IF(Student_Data[[#This Row],[Marks]]&gt;=60,"C","F"))))</f>
        <v>B</v>
      </c>
      <c r="K733" t="str">
        <f>IF(Student_Data[[#This Row],[Marks]]&gt;=35,"Pass","Fail")</f>
        <v>Pass</v>
      </c>
    </row>
    <row r="734" spans="1:11" x14ac:dyDescent="0.3">
      <c r="A734" t="s">
        <v>855</v>
      </c>
      <c r="B734" t="s">
        <v>135</v>
      </c>
      <c r="C734" t="s">
        <v>25</v>
      </c>
      <c r="D734">
        <v>8</v>
      </c>
      <c r="E734" t="s">
        <v>12</v>
      </c>
      <c r="F734" t="s">
        <v>26</v>
      </c>
      <c r="G734">
        <v>84</v>
      </c>
      <c r="H734">
        <v>74</v>
      </c>
      <c r="I734" t="s">
        <v>19</v>
      </c>
      <c r="J734" t="str">
        <f>IF(Student_Data[[#This Row],[Marks]] &gt;= 90,"A+",IF(Student_Data[[#This Row],[Marks]]&gt;=80,"A",IF(Student_Data[[#This Row],[Marks]]&gt;=70,"B",IF(Student_Data[[#This Row],[Marks]]&gt;=60,"C","F"))))</f>
        <v>A</v>
      </c>
      <c r="K734" t="str">
        <f>IF(Student_Data[[#This Row],[Marks]]&gt;=35,"Pass","Fail")</f>
        <v>Pass</v>
      </c>
    </row>
    <row r="735" spans="1:11" x14ac:dyDescent="0.3">
      <c r="A735" t="s">
        <v>856</v>
      </c>
      <c r="B735" t="s">
        <v>104</v>
      </c>
      <c r="C735" t="s">
        <v>25</v>
      </c>
      <c r="D735">
        <v>10</v>
      </c>
      <c r="E735" t="s">
        <v>33</v>
      </c>
      <c r="F735" t="s">
        <v>26</v>
      </c>
      <c r="G735">
        <v>93</v>
      </c>
      <c r="H735">
        <v>82</v>
      </c>
      <c r="I735" t="s">
        <v>40</v>
      </c>
      <c r="J735" t="str">
        <f>IF(Student_Data[[#This Row],[Marks]] &gt;= 90,"A+",IF(Student_Data[[#This Row],[Marks]]&gt;=80,"A",IF(Student_Data[[#This Row],[Marks]]&gt;=70,"B",IF(Student_Data[[#This Row],[Marks]]&gt;=60,"C","F"))))</f>
        <v>A+</v>
      </c>
      <c r="K735" t="str">
        <f>IF(Student_Data[[#This Row],[Marks]]&gt;=35,"Pass","Fail")</f>
        <v>Pass</v>
      </c>
    </row>
    <row r="736" spans="1:11" x14ac:dyDescent="0.3">
      <c r="A736" t="s">
        <v>857</v>
      </c>
      <c r="B736" t="s">
        <v>116</v>
      </c>
      <c r="C736" t="s">
        <v>25</v>
      </c>
      <c r="D736">
        <v>12</v>
      </c>
      <c r="E736" t="s">
        <v>17</v>
      </c>
      <c r="F736" t="s">
        <v>43</v>
      </c>
      <c r="G736">
        <v>87</v>
      </c>
      <c r="H736">
        <v>87</v>
      </c>
      <c r="I736" t="s">
        <v>40</v>
      </c>
      <c r="J736" t="str">
        <f>IF(Student_Data[[#This Row],[Marks]] &gt;= 90,"A+",IF(Student_Data[[#This Row],[Marks]]&gt;=80,"A",IF(Student_Data[[#This Row],[Marks]]&gt;=70,"B",IF(Student_Data[[#This Row],[Marks]]&gt;=60,"C","F"))))</f>
        <v>A</v>
      </c>
      <c r="K736" t="str">
        <f>IF(Student_Data[[#This Row],[Marks]]&gt;=35,"Pass","Fail")</f>
        <v>Pass</v>
      </c>
    </row>
    <row r="737" spans="1:11" x14ac:dyDescent="0.3">
      <c r="A737" t="s">
        <v>858</v>
      </c>
      <c r="B737" t="s">
        <v>173</v>
      </c>
      <c r="C737" t="s">
        <v>25</v>
      </c>
      <c r="D737">
        <v>8</v>
      </c>
      <c r="E737" t="s">
        <v>12</v>
      </c>
      <c r="F737" t="s">
        <v>26</v>
      </c>
      <c r="G737">
        <v>40</v>
      </c>
      <c r="H737">
        <v>69</v>
      </c>
      <c r="I737" t="s">
        <v>14</v>
      </c>
      <c r="J737" t="str">
        <f>IF(Student_Data[[#This Row],[Marks]] &gt;= 90,"A+",IF(Student_Data[[#This Row],[Marks]]&gt;=80,"A",IF(Student_Data[[#This Row],[Marks]]&gt;=70,"B",IF(Student_Data[[#This Row],[Marks]]&gt;=60,"C","F"))))</f>
        <v>F</v>
      </c>
      <c r="K737" t="str">
        <f>IF(Student_Data[[#This Row],[Marks]]&gt;=35,"Pass","Fail")</f>
        <v>Pass</v>
      </c>
    </row>
    <row r="738" spans="1:11" x14ac:dyDescent="0.3">
      <c r="A738" t="s">
        <v>859</v>
      </c>
      <c r="B738" t="s">
        <v>10</v>
      </c>
      <c r="C738" t="s">
        <v>11</v>
      </c>
      <c r="D738">
        <v>8</v>
      </c>
      <c r="E738" t="s">
        <v>12</v>
      </c>
      <c r="F738" t="s">
        <v>22</v>
      </c>
      <c r="G738">
        <v>45</v>
      </c>
      <c r="H738">
        <v>88</v>
      </c>
      <c r="I738" t="s">
        <v>14</v>
      </c>
      <c r="J738" t="str">
        <f>IF(Student_Data[[#This Row],[Marks]] &gt;= 90,"A+",IF(Student_Data[[#This Row],[Marks]]&gt;=80,"A",IF(Student_Data[[#This Row],[Marks]]&gt;=70,"B",IF(Student_Data[[#This Row],[Marks]]&gt;=60,"C","F"))))</f>
        <v>F</v>
      </c>
      <c r="K738" t="str">
        <f>IF(Student_Data[[#This Row],[Marks]]&gt;=35,"Pass","Fail")</f>
        <v>Pass</v>
      </c>
    </row>
    <row r="739" spans="1:11" x14ac:dyDescent="0.3">
      <c r="A739" t="s">
        <v>860</v>
      </c>
      <c r="B739" t="s">
        <v>135</v>
      </c>
      <c r="C739" t="s">
        <v>11</v>
      </c>
      <c r="D739">
        <v>9</v>
      </c>
      <c r="E739" t="s">
        <v>12</v>
      </c>
      <c r="F739" t="s">
        <v>22</v>
      </c>
      <c r="G739">
        <v>75</v>
      </c>
      <c r="H739">
        <v>87</v>
      </c>
      <c r="I739" t="s">
        <v>19</v>
      </c>
      <c r="J739" t="str">
        <f>IF(Student_Data[[#This Row],[Marks]] &gt;= 90,"A+",IF(Student_Data[[#This Row],[Marks]]&gt;=80,"A",IF(Student_Data[[#This Row],[Marks]]&gt;=70,"B",IF(Student_Data[[#This Row],[Marks]]&gt;=60,"C","F"))))</f>
        <v>B</v>
      </c>
      <c r="K739" t="str">
        <f>IF(Student_Data[[#This Row],[Marks]]&gt;=35,"Pass","Fail")</f>
        <v>Pass</v>
      </c>
    </row>
    <row r="740" spans="1:11" x14ac:dyDescent="0.3">
      <c r="A740" t="s">
        <v>861</v>
      </c>
      <c r="B740" t="s">
        <v>195</v>
      </c>
      <c r="C740" t="s">
        <v>25</v>
      </c>
      <c r="D740">
        <v>10</v>
      </c>
      <c r="E740" t="s">
        <v>33</v>
      </c>
      <c r="F740" t="s">
        <v>26</v>
      </c>
      <c r="G740">
        <v>43</v>
      </c>
      <c r="H740">
        <v>75</v>
      </c>
      <c r="I740" t="s">
        <v>31</v>
      </c>
      <c r="J740" t="str">
        <f>IF(Student_Data[[#This Row],[Marks]] &gt;= 90,"A+",IF(Student_Data[[#This Row],[Marks]]&gt;=80,"A",IF(Student_Data[[#This Row],[Marks]]&gt;=70,"B",IF(Student_Data[[#This Row],[Marks]]&gt;=60,"C","F"))))</f>
        <v>F</v>
      </c>
      <c r="K740" t="str">
        <f>IF(Student_Data[[#This Row],[Marks]]&gt;=35,"Pass","Fail")</f>
        <v>Pass</v>
      </c>
    </row>
    <row r="741" spans="1:11" x14ac:dyDescent="0.3">
      <c r="A741" t="s">
        <v>862</v>
      </c>
      <c r="B741" t="s">
        <v>63</v>
      </c>
      <c r="C741" t="s">
        <v>11</v>
      </c>
      <c r="D741">
        <v>9</v>
      </c>
      <c r="E741" t="s">
        <v>17</v>
      </c>
      <c r="F741" t="s">
        <v>26</v>
      </c>
      <c r="G741">
        <v>50</v>
      </c>
      <c r="H741">
        <v>83</v>
      </c>
      <c r="I741" t="s">
        <v>35</v>
      </c>
      <c r="J741" t="str">
        <f>IF(Student_Data[[#This Row],[Marks]] &gt;= 90,"A+",IF(Student_Data[[#This Row],[Marks]]&gt;=80,"A",IF(Student_Data[[#This Row],[Marks]]&gt;=70,"B",IF(Student_Data[[#This Row],[Marks]]&gt;=60,"C","F"))))</f>
        <v>F</v>
      </c>
      <c r="K741" t="str">
        <f>IF(Student_Data[[#This Row],[Marks]]&gt;=35,"Pass","Fail")</f>
        <v>Pass</v>
      </c>
    </row>
    <row r="742" spans="1:11" x14ac:dyDescent="0.3">
      <c r="A742" t="s">
        <v>863</v>
      </c>
      <c r="B742" t="s">
        <v>401</v>
      </c>
      <c r="C742" t="s">
        <v>25</v>
      </c>
      <c r="D742">
        <v>9</v>
      </c>
      <c r="E742" t="s">
        <v>12</v>
      </c>
      <c r="F742" t="s">
        <v>26</v>
      </c>
      <c r="G742">
        <v>53</v>
      </c>
      <c r="H742">
        <v>84</v>
      </c>
      <c r="I742" t="s">
        <v>31</v>
      </c>
      <c r="J742" t="str">
        <f>IF(Student_Data[[#This Row],[Marks]] &gt;= 90,"A+",IF(Student_Data[[#This Row],[Marks]]&gt;=80,"A",IF(Student_Data[[#This Row],[Marks]]&gt;=70,"B",IF(Student_Data[[#This Row],[Marks]]&gt;=60,"C","F"))))</f>
        <v>F</v>
      </c>
      <c r="K742" t="str">
        <f>IF(Student_Data[[#This Row],[Marks]]&gt;=35,"Pass","Fail")</f>
        <v>Pass</v>
      </c>
    </row>
    <row r="743" spans="1:11" x14ac:dyDescent="0.3">
      <c r="A743" t="s">
        <v>864</v>
      </c>
      <c r="B743" t="s">
        <v>228</v>
      </c>
      <c r="C743" t="s">
        <v>25</v>
      </c>
      <c r="D743">
        <v>11</v>
      </c>
      <c r="E743" t="s">
        <v>33</v>
      </c>
      <c r="F743" t="s">
        <v>18</v>
      </c>
      <c r="G743">
        <v>100</v>
      </c>
      <c r="H743">
        <v>94</v>
      </c>
      <c r="I743" t="s">
        <v>49</v>
      </c>
      <c r="J743" t="str">
        <f>IF(Student_Data[[#This Row],[Marks]] &gt;= 90,"A+",IF(Student_Data[[#This Row],[Marks]]&gt;=80,"A",IF(Student_Data[[#This Row],[Marks]]&gt;=70,"B",IF(Student_Data[[#This Row],[Marks]]&gt;=60,"C","F"))))</f>
        <v>A+</v>
      </c>
      <c r="K743" t="str">
        <f>IF(Student_Data[[#This Row],[Marks]]&gt;=35,"Pass","Fail")</f>
        <v>Pass</v>
      </c>
    </row>
    <row r="744" spans="1:11" x14ac:dyDescent="0.3">
      <c r="A744" t="s">
        <v>865</v>
      </c>
      <c r="B744" t="s">
        <v>100</v>
      </c>
      <c r="C744" t="s">
        <v>25</v>
      </c>
      <c r="D744">
        <v>12</v>
      </c>
      <c r="E744" t="s">
        <v>33</v>
      </c>
      <c r="F744" t="s">
        <v>22</v>
      </c>
      <c r="G744">
        <v>46</v>
      </c>
      <c r="H744">
        <v>70</v>
      </c>
      <c r="I744" t="s">
        <v>49</v>
      </c>
      <c r="J744" t="str">
        <f>IF(Student_Data[[#This Row],[Marks]] &gt;= 90,"A+",IF(Student_Data[[#This Row],[Marks]]&gt;=80,"A",IF(Student_Data[[#This Row],[Marks]]&gt;=70,"B",IF(Student_Data[[#This Row],[Marks]]&gt;=60,"C","F"))))</f>
        <v>F</v>
      </c>
      <c r="K744" t="str">
        <f>IF(Student_Data[[#This Row],[Marks]]&gt;=35,"Pass","Fail")</f>
        <v>Pass</v>
      </c>
    </row>
    <row r="745" spans="1:11" x14ac:dyDescent="0.3">
      <c r="A745" t="s">
        <v>866</v>
      </c>
      <c r="B745" t="s">
        <v>297</v>
      </c>
      <c r="C745" t="s">
        <v>25</v>
      </c>
      <c r="D745">
        <v>9</v>
      </c>
      <c r="E745" t="s">
        <v>12</v>
      </c>
      <c r="F745" t="s">
        <v>13</v>
      </c>
      <c r="G745">
        <v>77</v>
      </c>
      <c r="H745">
        <v>87</v>
      </c>
      <c r="I745" t="s">
        <v>40</v>
      </c>
      <c r="J745" t="str">
        <f>IF(Student_Data[[#This Row],[Marks]] &gt;= 90,"A+",IF(Student_Data[[#This Row],[Marks]]&gt;=80,"A",IF(Student_Data[[#This Row],[Marks]]&gt;=70,"B",IF(Student_Data[[#This Row],[Marks]]&gt;=60,"C","F"))))</f>
        <v>B</v>
      </c>
      <c r="K745" t="str">
        <f>IF(Student_Data[[#This Row],[Marks]]&gt;=35,"Pass","Fail")</f>
        <v>Pass</v>
      </c>
    </row>
    <row r="746" spans="1:11" x14ac:dyDescent="0.3">
      <c r="A746" t="s">
        <v>867</v>
      </c>
      <c r="B746" t="s">
        <v>48</v>
      </c>
      <c r="C746" t="s">
        <v>11</v>
      </c>
      <c r="D746">
        <v>12</v>
      </c>
      <c r="E746" t="s">
        <v>33</v>
      </c>
      <c r="F746" t="s">
        <v>18</v>
      </c>
      <c r="G746">
        <v>45</v>
      </c>
      <c r="H746">
        <v>87</v>
      </c>
      <c r="I746" t="s">
        <v>14</v>
      </c>
      <c r="J746" t="str">
        <f>IF(Student_Data[[#This Row],[Marks]] &gt;= 90,"A+",IF(Student_Data[[#This Row],[Marks]]&gt;=80,"A",IF(Student_Data[[#This Row],[Marks]]&gt;=70,"B",IF(Student_Data[[#This Row],[Marks]]&gt;=60,"C","F"))))</f>
        <v>F</v>
      </c>
      <c r="K746" t="str">
        <f>IF(Student_Data[[#This Row],[Marks]]&gt;=35,"Pass","Fail")</f>
        <v>Pass</v>
      </c>
    </row>
    <row r="747" spans="1:11" x14ac:dyDescent="0.3">
      <c r="A747" t="s">
        <v>868</v>
      </c>
      <c r="B747" t="s">
        <v>247</v>
      </c>
      <c r="C747" t="s">
        <v>11</v>
      </c>
      <c r="D747">
        <v>10</v>
      </c>
      <c r="E747" t="s">
        <v>17</v>
      </c>
      <c r="F747" t="s">
        <v>13</v>
      </c>
      <c r="G747">
        <v>92</v>
      </c>
      <c r="H747">
        <v>84</v>
      </c>
      <c r="I747" t="s">
        <v>14</v>
      </c>
      <c r="J747" t="str">
        <f>IF(Student_Data[[#This Row],[Marks]] &gt;= 90,"A+",IF(Student_Data[[#This Row],[Marks]]&gt;=80,"A",IF(Student_Data[[#This Row],[Marks]]&gt;=70,"B",IF(Student_Data[[#This Row],[Marks]]&gt;=60,"C","F"))))</f>
        <v>A+</v>
      </c>
      <c r="K747" t="str">
        <f>IF(Student_Data[[#This Row],[Marks]]&gt;=35,"Pass","Fail")</f>
        <v>Pass</v>
      </c>
    </row>
    <row r="748" spans="1:11" x14ac:dyDescent="0.3">
      <c r="A748" t="s">
        <v>869</v>
      </c>
      <c r="B748" t="s">
        <v>84</v>
      </c>
      <c r="C748" t="s">
        <v>11</v>
      </c>
      <c r="D748">
        <v>9</v>
      </c>
      <c r="E748" t="s">
        <v>17</v>
      </c>
      <c r="F748" t="s">
        <v>26</v>
      </c>
      <c r="G748">
        <v>68</v>
      </c>
      <c r="H748">
        <v>90</v>
      </c>
      <c r="I748" t="s">
        <v>19</v>
      </c>
      <c r="J748" t="str">
        <f>IF(Student_Data[[#This Row],[Marks]] &gt;= 90,"A+",IF(Student_Data[[#This Row],[Marks]]&gt;=80,"A",IF(Student_Data[[#This Row],[Marks]]&gt;=70,"B",IF(Student_Data[[#This Row],[Marks]]&gt;=60,"C","F"))))</f>
        <v>C</v>
      </c>
      <c r="K748" t="str">
        <f>IF(Student_Data[[#This Row],[Marks]]&gt;=35,"Pass","Fail")</f>
        <v>Pass</v>
      </c>
    </row>
    <row r="749" spans="1:11" x14ac:dyDescent="0.3">
      <c r="A749" t="s">
        <v>870</v>
      </c>
      <c r="B749" t="s">
        <v>423</v>
      </c>
      <c r="C749" t="s">
        <v>11</v>
      </c>
      <c r="D749">
        <v>10</v>
      </c>
      <c r="E749" t="s">
        <v>12</v>
      </c>
      <c r="F749" t="s">
        <v>18</v>
      </c>
      <c r="G749">
        <v>91</v>
      </c>
      <c r="H749">
        <v>63</v>
      </c>
      <c r="I749" t="s">
        <v>19</v>
      </c>
      <c r="J749" t="str">
        <f>IF(Student_Data[[#This Row],[Marks]] &gt;= 90,"A+",IF(Student_Data[[#This Row],[Marks]]&gt;=80,"A",IF(Student_Data[[#This Row],[Marks]]&gt;=70,"B",IF(Student_Data[[#This Row],[Marks]]&gt;=60,"C","F"))))</f>
        <v>A+</v>
      </c>
      <c r="K749" t="str">
        <f>IF(Student_Data[[#This Row],[Marks]]&gt;=35,"Pass","Fail")</f>
        <v>Pass</v>
      </c>
    </row>
    <row r="750" spans="1:11" x14ac:dyDescent="0.3">
      <c r="A750" t="s">
        <v>871</v>
      </c>
      <c r="B750" t="s">
        <v>28</v>
      </c>
      <c r="C750" t="s">
        <v>25</v>
      </c>
      <c r="D750">
        <v>10</v>
      </c>
      <c r="E750" t="s">
        <v>17</v>
      </c>
      <c r="F750" t="s">
        <v>22</v>
      </c>
      <c r="G750">
        <v>60</v>
      </c>
      <c r="H750">
        <v>65</v>
      </c>
      <c r="I750" t="s">
        <v>49</v>
      </c>
      <c r="J750" t="str">
        <f>IF(Student_Data[[#This Row],[Marks]] &gt;= 90,"A+",IF(Student_Data[[#This Row],[Marks]]&gt;=80,"A",IF(Student_Data[[#This Row],[Marks]]&gt;=70,"B",IF(Student_Data[[#This Row],[Marks]]&gt;=60,"C","F"))))</f>
        <v>C</v>
      </c>
      <c r="K750" t="str">
        <f>IF(Student_Data[[#This Row],[Marks]]&gt;=35,"Pass","Fail")</f>
        <v>Pass</v>
      </c>
    </row>
    <row r="751" spans="1:11" x14ac:dyDescent="0.3">
      <c r="A751" t="s">
        <v>872</v>
      </c>
      <c r="B751" t="s">
        <v>151</v>
      </c>
      <c r="C751" t="s">
        <v>25</v>
      </c>
      <c r="D751">
        <v>11</v>
      </c>
      <c r="E751" t="s">
        <v>12</v>
      </c>
      <c r="F751" t="s">
        <v>34</v>
      </c>
      <c r="G751">
        <v>59</v>
      </c>
      <c r="H751">
        <v>85</v>
      </c>
      <c r="I751" t="s">
        <v>35</v>
      </c>
      <c r="J751" t="str">
        <f>IF(Student_Data[[#This Row],[Marks]] &gt;= 90,"A+",IF(Student_Data[[#This Row],[Marks]]&gt;=80,"A",IF(Student_Data[[#This Row],[Marks]]&gt;=70,"B",IF(Student_Data[[#This Row],[Marks]]&gt;=60,"C","F"))))</f>
        <v>F</v>
      </c>
      <c r="K751" t="str">
        <f>IF(Student_Data[[#This Row],[Marks]]&gt;=35,"Pass","Fail")</f>
        <v>Pass</v>
      </c>
    </row>
    <row r="752" spans="1:11" x14ac:dyDescent="0.3">
      <c r="A752" t="s">
        <v>873</v>
      </c>
      <c r="B752" t="s">
        <v>189</v>
      </c>
      <c r="C752" t="s">
        <v>11</v>
      </c>
      <c r="D752">
        <v>7</v>
      </c>
      <c r="E752" t="s">
        <v>33</v>
      </c>
      <c r="F752" t="s">
        <v>13</v>
      </c>
      <c r="G752">
        <v>63</v>
      </c>
      <c r="H752">
        <v>97</v>
      </c>
      <c r="I752" t="s">
        <v>35</v>
      </c>
      <c r="J752" t="str">
        <f>IF(Student_Data[[#This Row],[Marks]] &gt;= 90,"A+",IF(Student_Data[[#This Row],[Marks]]&gt;=80,"A",IF(Student_Data[[#This Row],[Marks]]&gt;=70,"B",IF(Student_Data[[#This Row],[Marks]]&gt;=60,"C","F"))))</f>
        <v>C</v>
      </c>
      <c r="K752" t="str">
        <f>IF(Student_Data[[#This Row],[Marks]]&gt;=35,"Pass","Fail")</f>
        <v>Pass</v>
      </c>
    </row>
    <row r="753" spans="1:11" x14ac:dyDescent="0.3">
      <c r="A753" t="s">
        <v>874</v>
      </c>
      <c r="B753" t="s">
        <v>10</v>
      </c>
      <c r="C753" t="s">
        <v>25</v>
      </c>
      <c r="D753">
        <v>7</v>
      </c>
      <c r="E753" t="s">
        <v>17</v>
      </c>
      <c r="F753" t="s">
        <v>22</v>
      </c>
      <c r="G753">
        <v>83</v>
      </c>
      <c r="H753">
        <v>61</v>
      </c>
      <c r="I753" t="s">
        <v>35</v>
      </c>
      <c r="J753" t="str">
        <f>IF(Student_Data[[#This Row],[Marks]] &gt;= 90,"A+",IF(Student_Data[[#This Row],[Marks]]&gt;=80,"A",IF(Student_Data[[#This Row],[Marks]]&gt;=70,"B",IF(Student_Data[[#This Row],[Marks]]&gt;=60,"C","F"))))</f>
        <v>A</v>
      </c>
      <c r="K753" t="str">
        <f>IF(Student_Data[[#This Row],[Marks]]&gt;=35,"Pass","Fail")</f>
        <v>Pass</v>
      </c>
    </row>
    <row r="754" spans="1:11" x14ac:dyDescent="0.3">
      <c r="A754" t="s">
        <v>875</v>
      </c>
      <c r="B754" t="s">
        <v>184</v>
      </c>
      <c r="C754" t="s">
        <v>25</v>
      </c>
      <c r="D754">
        <v>8</v>
      </c>
      <c r="E754" t="s">
        <v>17</v>
      </c>
      <c r="F754" t="s">
        <v>43</v>
      </c>
      <c r="G754">
        <v>46</v>
      </c>
      <c r="H754">
        <v>79</v>
      </c>
      <c r="I754" t="s">
        <v>49</v>
      </c>
      <c r="J754" t="str">
        <f>IF(Student_Data[[#This Row],[Marks]] &gt;= 90,"A+",IF(Student_Data[[#This Row],[Marks]]&gt;=80,"A",IF(Student_Data[[#This Row],[Marks]]&gt;=70,"B",IF(Student_Data[[#This Row],[Marks]]&gt;=60,"C","F"))))</f>
        <v>F</v>
      </c>
      <c r="K754" t="str">
        <f>IF(Student_Data[[#This Row],[Marks]]&gt;=35,"Pass","Fail")</f>
        <v>Pass</v>
      </c>
    </row>
    <row r="755" spans="1:11" x14ac:dyDescent="0.3">
      <c r="A755" t="s">
        <v>876</v>
      </c>
      <c r="B755" t="s">
        <v>70</v>
      </c>
      <c r="C755" t="s">
        <v>25</v>
      </c>
      <c r="D755">
        <v>12</v>
      </c>
      <c r="E755" t="s">
        <v>12</v>
      </c>
      <c r="F755" t="s">
        <v>13</v>
      </c>
      <c r="G755">
        <v>79</v>
      </c>
      <c r="H755">
        <v>100</v>
      </c>
      <c r="I755" t="s">
        <v>31</v>
      </c>
      <c r="J755" t="str">
        <f>IF(Student_Data[[#This Row],[Marks]] &gt;= 90,"A+",IF(Student_Data[[#This Row],[Marks]]&gt;=80,"A",IF(Student_Data[[#This Row],[Marks]]&gt;=70,"B",IF(Student_Data[[#This Row],[Marks]]&gt;=60,"C","F"))))</f>
        <v>B</v>
      </c>
      <c r="K755" t="str">
        <f>IF(Student_Data[[#This Row],[Marks]]&gt;=35,"Pass","Fail")</f>
        <v>Pass</v>
      </c>
    </row>
    <row r="756" spans="1:11" x14ac:dyDescent="0.3">
      <c r="A756" t="s">
        <v>877</v>
      </c>
      <c r="B756" t="s">
        <v>88</v>
      </c>
      <c r="C756" t="s">
        <v>25</v>
      </c>
      <c r="D756">
        <v>7</v>
      </c>
      <c r="E756" t="s">
        <v>12</v>
      </c>
      <c r="F756" t="s">
        <v>43</v>
      </c>
      <c r="G756">
        <v>82</v>
      </c>
      <c r="H756">
        <v>91</v>
      </c>
      <c r="I756" t="s">
        <v>49</v>
      </c>
      <c r="J756" t="str">
        <f>IF(Student_Data[[#This Row],[Marks]] &gt;= 90,"A+",IF(Student_Data[[#This Row],[Marks]]&gt;=80,"A",IF(Student_Data[[#This Row],[Marks]]&gt;=70,"B",IF(Student_Data[[#This Row],[Marks]]&gt;=60,"C","F"))))</f>
        <v>A</v>
      </c>
      <c r="K756" t="str">
        <f>IF(Student_Data[[#This Row],[Marks]]&gt;=35,"Pass","Fail")</f>
        <v>Pass</v>
      </c>
    </row>
    <row r="757" spans="1:11" x14ac:dyDescent="0.3">
      <c r="A757" t="s">
        <v>878</v>
      </c>
      <c r="B757" t="s">
        <v>457</v>
      </c>
      <c r="C757" t="s">
        <v>25</v>
      </c>
      <c r="D757">
        <v>9</v>
      </c>
      <c r="E757" t="s">
        <v>12</v>
      </c>
      <c r="F757" t="s">
        <v>43</v>
      </c>
      <c r="G757">
        <v>63</v>
      </c>
      <c r="H757">
        <v>90</v>
      </c>
      <c r="I757" t="s">
        <v>14</v>
      </c>
      <c r="J757" t="str">
        <f>IF(Student_Data[[#This Row],[Marks]] &gt;= 90,"A+",IF(Student_Data[[#This Row],[Marks]]&gt;=80,"A",IF(Student_Data[[#This Row],[Marks]]&gt;=70,"B",IF(Student_Data[[#This Row],[Marks]]&gt;=60,"C","F"))))</f>
        <v>C</v>
      </c>
      <c r="K757" t="str">
        <f>IF(Student_Data[[#This Row],[Marks]]&gt;=35,"Pass","Fail")</f>
        <v>Pass</v>
      </c>
    </row>
    <row r="758" spans="1:11" x14ac:dyDescent="0.3">
      <c r="A758" t="s">
        <v>879</v>
      </c>
      <c r="B758" t="s">
        <v>84</v>
      </c>
      <c r="C758" t="s">
        <v>25</v>
      </c>
      <c r="D758">
        <v>7</v>
      </c>
      <c r="E758" t="s">
        <v>17</v>
      </c>
      <c r="F758" t="s">
        <v>43</v>
      </c>
      <c r="G758">
        <v>78</v>
      </c>
      <c r="H758">
        <v>83</v>
      </c>
      <c r="I758" t="s">
        <v>49</v>
      </c>
      <c r="J758" t="str">
        <f>IF(Student_Data[[#This Row],[Marks]] &gt;= 90,"A+",IF(Student_Data[[#This Row],[Marks]]&gt;=80,"A",IF(Student_Data[[#This Row],[Marks]]&gt;=70,"B",IF(Student_Data[[#This Row],[Marks]]&gt;=60,"C","F"))))</f>
        <v>B</v>
      </c>
      <c r="K758" t="str">
        <f>IF(Student_Data[[#This Row],[Marks]]&gt;=35,"Pass","Fail")</f>
        <v>Pass</v>
      </c>
    </row>
    <row r="759" spans="1:11" x14ac:dyDescent="0.3">
      <c r="A759" t="s">
        <v>880</v>
      </c>
      <c r="B759" t="s">
        <v>230</v>
      </c>
      <c r="C759" t="s">
        <v>11</v>
      </c>
      <c r="D759">
        <v>10</v>
      </c>
      <c r="E759" t="s">
        <v>17</v>
      </c>
      <c r="F759" t="s">
        <v>43</v>
      </c>
      <c r="G759">
        <v>99</v>
      </c>
      <c r="H759">
        <v>68</v>
      </c>
      <c r="I759" t="s">
        <v>40</v>
      </c>
      <c r="J759" t="str">
        <f>IF(Student_Data[[#This Row],[Marks]] &gt;= 90,"A+",IF(Student_Data[[#This Row],[Marks]]&gt;=80,"A",IF(Student_Data[[#This Row],[Marks]]&gt;=70,"B",IF(Student_Data[[#This Row],[Marks]]&gt;=60,"C","F"))))</f>
        <v>A+</v>
      </c>
      <c r="K759" t="str">
        <f>IF(Student_Data[[#This Row],[Marks]]&gt;=35,"Pass","Fail")</f>
        <v>Pass</v>
      </c>
    </row>
    <row r="760" spans="1:11" x14ac:dyDescent="0.3">
      <c r="A760" t="s">
        <v>881</v>
      </c>
      <c r="B760" t="s">
        <v>168</v>
      </c>
      <c r="C760" t="s">
        <v>11</v>
      </c>
      <c r="D760">
        <v>11</v>
      </c>
      <c r="E760" t="s">
        <v>17</v>
      </c>
      <c r="F760" t="s">
        <v>34</v>
      </c>
      <c r="G760">
        <v>44</v>
      </c>
      <c r="H760">
        <v>81</v>
      </c>
      <c r="I760" t="s">
        <v>40</v>
      </c>
      <c r="J760" t="str">
        <f>IF(Student_Data[[#This Row],[Marks]] &gt;= 90,"A+",IF(Student_Data[[#This Row],[Marks]]&gt;=80,"A",IF(Student_Data[[#This Row],[Marks]]&gt;=70,"B",IF(Student_Data[[#This Row],[Marks]]&gt;=60,"C","F"))))</f>
        <v>F</v>
      </c>
      <c r="K760" t="str">
        <f>IF(Student_Data[[#This Row],[Marks]]&gt;=35,"Pass","Fail")</f>
        <v>Pass</v>
      </c>
    </row>
    <row r="761" spans="1:11" x14ac:dyDescent="0.3">
      <c r="A761" t="s">
        <v>882</v>
      </c>
      <c r="B761" t="s">
        <v>173</v>
      </c>
      <c r="C761" t="s">
        <v>25</v>
      </c>
      <c r="D761">
        <v>6</v>
      </c>
      <c r="E761" t="s">
        <v>12</v>
      </c>
      <c r="F761" t="s">
        <v>13</v>
      </c>
      <c r="G761">
        <v>58</v>
      </c>
      <c r="H761">
        <v>66</v>
      </c>
      <c r="I761" t="s">
        <v>49</v>
      </c>
      <c r="J761" t="str">
        <f>IF(Student_Data[[#This Row],[Marks]] &gt;= 90,"A+",IF(Student_Data[[#This Row],[Marks]]&gt;=80,"A",IF(Student_Data[[#This Row],[Marks]]&gt;=70,"B",IF(Student_Data[[#This Row],[Marks]]&gt;=60,"C","F"))))</f>
        <v>F</v>
      </c>
      <c r="K761" t="str">
        <f>IF(Student_Data[[#This Row],[Marks]]&gt;=35,"Pass","Fail")</f>
        <v>Pass</v>
      </c>
    </row>
    <row r="762" spans="1:11" x14ac:dyDescent="0.3">
      <c r="A762" t="s">
        <v>883</v>
      </c>
      <c r="B762" t="s">
        <v>297</v>
      </c>
      <c r="C762" t="s">
        <v>25</v>
      </c>
      <c r="D762">
        <v>10</v>
      </c>
      <c r="E762" t="s">
        <v>33</v>
      </c>
      <c r="F762" t="s">
        <v>43</v>
      </c>
      <c r="G762">
        <v>54</v>
      </c>
      <c r="H762">
        <v>79</v>
      </c>
      <c r="I762" t="s">
        <v>31</v>
      </c>
      <c r="J762" t="str">
        <f>IF(Student_Data[[#This Row],[Marks]] &gt;= 90,"A+",IF(Student_Data[[#This Row],[Marks]]&gt;=80,"A",IF(Student_Data[[#This Row],[Marks]]&gt;=70,"B",IF(Student_Data[[#This Row],[Marks]]&gt;=60,"C","F"))))</f>
        <v>F</v>
      </c>
      <c r="K762" t="str">
        <f>IF(Student_Data[[#This Row],[Marks]]&gt;=35,"Pass","Fail")</f>
        <v>Pass</v>
      </c>
    </row>
    <row r="763" spans="1:11" x14ac:dyDescent="0.3">
      <c r="A763" t="s">
        <v>884</v>
      </c>
      <c r="B763" t="s">
        <v>21</v>
      </c>
      <c r="C763" t="s">
        <v>25</v>
      </c>
      <c r="D763">
        <v>9</v>
      </c>
      <c r="E763" t="s">
        <v>33</v>
      </c>
      <c r="F763" t="s">
        <v>22</v>
      </c>
      <c r="G763">
        <v>79</v>
      </c>
      <c r="H763">
        <v>87</v>
      </c>
      <c r="I763" t="s">
        <v>14</v>
      </c>
      <c r="J763" t="str">
        <f>IF(Student_Data[[#This Row],[Marks]] &gt;= 90,"A+",IF(Student_Data[[#This Row],[Marks]]&gt;=80,"A",IF(Student_Data[[#This Row],[Marks]]&gt;=70,"B",IF(Student_Data[[#This Row],[Marks]]&gt;=60,"C","F"))))</f>
        <v>B</v>
      </c>
      <c r="K763" t="str">
        <f>IF(Student_Data[[#This Row],[Marks]]&gt;=35,"Pass","Fail")</f>
        <v>Pass</v>
      </c>
    </row>
    <row r="764" spans="1:11" x14ac:dyDescent="0.3">
      <c r="A764" t="s">
        <v>885</v>
      </c>
      <c r="B764" t="s">
        <v>423</v>
      </c>
      <c r="C764" t="s">
        <v>25</v>
      </c>
      <c r="D764">
        <v>6</v>
      </c>
      <c r="E764" t="s">
        <v>33</v>
      </c>
      <c r="F764" t="s">
        <v>26</v>
      </c>
      <c r="G764">
        <v>40</v>
      </c>
      <c r="H764">
        <v>100</v>
      </c>
      <c r="I764" t="s">
        <v>40</v>
      </c>
      <c r="J764" t="str">
        <f>IF(Student_Data[[#This Row],[Marks]] &gt;= 90,"A+",IF(Student_Data[[#This Row],[Marks]]&gt;=80,"A",IF(Student_Data[[#This Row],[Marks]]&gt;=70,"B",IF(Student_Data[[#This Row],[Marks]]&gt;=60,"C","F"))))</f>
        <v>F</v>
      </c>
      <c r="K764" t="str">
        <f>IF(Student_Data[[#This Row],[Marks]]&gt;=35,"Pass","Fail")</f>
        <v>Pass</v>
      </c>
    </row>
    <row r="765" spans="1:11" x14ac:dyDescent="0.3">
      <c r="A765" t="s">
        <v>886</v>
      </c>
      <c r="B765" t="s">
        <v>164</v>
      </c>
      <c r="C765" t="s">
        <v>25</v>
      </c>
      <c r="D765">
        <v>11</v>
      </c>
      <c r="E765" t="s">
        <v>17</v>
      </c>
      <c r="F765" t="s">
        <v>43</v>
      </c>
      <c r="G765">
        <v>42</v>
      </c>
      <c r="H765">
        <v>87</v>
      </c>
      <c r="I765" t="s">
        <v>31</v>
      </c>
      <c r="J765" t="str">
        <f>IF(Student_Data[[#This Row],[Marks]] &gt;= 90,"A+",IF(Student_Data[[#This Row],[Marks]]&gt;=80,"A",IF(Student_Data[[#This Row],[Marks]]&gt;=70,"B",IF(Student_Data[[#This Row],[Marks]]&gt;=60,"C","F"))))</f>
        <v>F</v>
      </c>
      <c r="K765" t="str">
        <f>IF(Student_Data[[#This Row],[Marks]]&gt;=35,"Pass","Fail")</f>
        <v>Pass</v>
      </c>
    </row>
    <row r="766" spans="1:11" x14ac:dyDescent="0.3">
      <c r="A766" t="s">
        <v>887</v>
      </c>
      <c r="B766" t="s">
        <v>30</v>
      </c>
      <c r="C766" t="s">
        <v>25</v>
      </c>
      <c r="D766">
        <v>11</v>
      </c>
      <c r="E766" t="s">
        <v>12</v>
      </c>
      <c r="F766" t="s">
        <v>43</v>
      </c>
      <c r="G766">
        <v>100</v>
      </c>
      <c r="H766">
        <v>69</v>
      </c>
      <c r="I766" t="s">
        <v>19</v>
      </c>
      <c r="J766" t="str">
        <f>IF(Student_Data[[#This Row],[Marks]] &gt;= 90,"A+",IF(Student_Data[[#This Row],[Marks]]&gt;=80,"A",IF(Student_Data[[#This Row],[Marks]]&gt;=70,"B",IF(Student_Data[[#This Row],[Marks]]&gt;=60,"C","F"))))</f>
        <v>A+</v>
      </c>
      <c r="K766" t="str">
        <f>IF(Student_Data[[#This Row],[Marks]]&gt;=35,"Pass","Fail")</f>
        <v>Pass</v>
      </c>
    </row>
    <row r="767" spans="1:11" x14ac:dyDescent="0.3">
      <c r="A767" t="s">
        <v>888</v>
      </c>
      <c r="B767" t="s">
        <v>195</v>
      </c>
      <c r="C767" t="s">
        <v>25</v>
      </c>
      <c r="D767">
        <v>11</v>
      </c>
      <c r="E767" t="s">
        <v>12</v>
      </c>
      <c r="F767" t="s">
        <v>13</v>
      </c>
      <c r="G767">
        <v>67</v>
      </c>
      <c r="H767">
        <v>76</v>
      </c>
      <c r="I767" t="s">
        <v>31</v>
      </c>
      <c r="J767" t="str">
        <f>IF(Student_Data[[#This Row],[Marks]] &gt;= 90,"A+",IF(Student_Data[[#This Row],[Marks]]&gt;=80,"A",IF(Student_Data[[#This Row],[Marks]]&gt;=70,"B",IF(Student_Data[[#This Row],[Marks]]&gt;=60,"C","F"))))</f>
        <v>C</v>
      </c>
      <c r="K767" t="str">
        <f>IF(Student_Data[[#This Row],[Marks]]&gt;=35,"Pass","Fail")</f>
        <v>Pass</v>
      </c>
    </row>
    <row r="768" spans="1:11" x14ac:dyDescent="0.3">
      <c r="A768" t="s">
        <v>889</v>
      </c>
      <c r="B768" t="s">
        <v>104</v>
      </c>
      <c r="C768" t="s">
        <v>11</v>
      </c>
      <c r="D768">
        <v>7</v>
      </c>
      <c r="E768" t="s">
        <v>17</v>
      </c>
      <c r="F768" t="s">
        <v>43</v>
      </c>
      <c r="G768">
        <v>99</v>
      </c>
      <c r="H768">
        <v>67</v>
      </c>
      <c r="I768" t="s">
        <v>49</v>
      </c>
      <c r="J768" t="str">
        <f>IF(Student_Data[[#This Row],[Marks]] &gt;= 90,"A+",IF(Student_Data[[#This Row],[Marks]]&gt;=80,"A",IF(Student_Data[[#This Row],[Marks]]&gt;=70,"B",IF(Student_Data[[#This Row],[Marks]]&gt;=60,"C","F"))))</f>
        <v>A+</v>
      </c>
      <c r="K768" t="str">
        <f>IF(Student_Data[[#This Row],[Marks]]&gt;=35,"Pass","Fail")</f>
        <v>Pass</v>
      </c>
    </row>
    <row r="769" spans="1:11" x14ac:dyDescent="0.3">
      <c r="A769" t="s">
        <v>890</v>
      </c>
      <c r="B769" t="s">
        <v>132</v>
      </c>
      <c r="C769" t="s">
        <v>11</v>
      </c>
      <c r="D769">
        <v>9</v>
      </c>
      <c r="E769" t="s">
        <v>12</v>
      </c>
      <c r="F769" t="s">
        <v>13</v>
      </c>
      <c r="G769">
        <v>65</v>
      </c>
      <c r="H769">
        <v>98</v>
      </c>
      <c r="I769" t="s">
        <v>19</v>
      </c>
      <c r="J769" t="str">
        <f>IF(Student_Data[[#This Row],[Marks]] &gt;= 90,"A+",IF(Student_Data[[#This Row],[Marks]]&gt;=80,"A",IF(Student_Data[[#This Row],[Marks]]&gt;=70,"B",IF(Student_Data[[#This Row],[Marks]]&gt;=60,"C","F"))))</f>
        <v>C</v>
      </c>
      <c r="K769" t="str">
        <f>IF(Student_Data[[#This Row],[Marks]]&gt;=35,"Pass","Fail")</f>
        <v>Pass</v>
      </c>
    </row>
    <row r="770" spans="1:11" x14ac:dyDescent="0.3">
      <c r="A770" t="s">
        <v>891</v>
      </c>
      <c r="B770" t="s">
        <v>189</v>
      </c>
      <c r="C770" t="s">
        <v>25</v>
      </c>
      <c r="D770">
        <v>10</v>
      </c>
      <c r="E770" t="s">
        <v>17</v>
      </c>
      <c r="F770" t="s">
        <v>26</v>
      </c>
      <c r="G770">
        <v>66</v>
      </c>
      <c r="H770">
        <v>83</v>
      </c>
      <c r="I770" t="s">
        <v>31</v>
      </c>
      <c r="J770" t="str">
        <f>IF(Student_Data[[#This Row],[Marks]] &gt;= 90,"A+",IF(Student_Data[[#This Row],[Marks]]&gt;=80,"A",IF(Student_Data[[#This Row],[Marks]]&gt;=70,"B",IF(Student_Data[[#This Row],[Marks]]&gt;=60,"C","F"))))</f>
        <v>C</v>
      </c>
      <c r="K770" t="str">
        <f>IF(Student_Data[[#This Row],[Marks]]&gt;=35,"Pass","Fail")</f>
        <v>Pass</v>
      </c>
    </row>
    <row r="771" spans="1:11" x14ac:dyDescent="0.3">
      <c r="A771" t="s">
        <v>892</v>
      </c>
      <c r="B771" t="s">
        <v>84</v>
      </c>
      <c r="C771" t="s">
        <v>25</v>
      </c>
      <c r="D771">
        <v>9</v>
      </c>
      <c r="E771" t="s">
        <v>12</v>
      </c>
      <c r="F771" t="s">
        <v>18</v>
      </c>
      <c r="G771">
        <v>83</v>
      </c>
      <c r="H771">
        <v>75</v>
      </c>
      <c r="I771" t="s">
        <v>19</v>
      </c>
      <c r="J771" t="str">
        <f>IF(Student_Data[[#This Row],[Marks]] &gt;= 90,"A+",IF(Student_Data[[#This Row],[Marks]]&gt;=80,"A",IF(Student_Data[[#This Row],[Marks]]&gt;=70,"B",IF(Student_Data[[#This Row],[Marks]]&gt;=60,"C","F"))))</f>
        <v>A</v>
      </c>
      <c r="K771" t="str">
        <f>IF(Student_Data[[#This Row],[Marks]]&gt;=35,"Pass","Fail")</f>
        <v>Pass</v>
      </c>
    </row>
    <row r="772" spans="1:11" x14ac:dyDescent="0.3">
      <c r="A772" t="s">
        <v>893</v>
      </c>
      <c r="B772" t="s">
        <v>176</v>
      </c>
      <c r="C772" t="s">
        <v>25</v>
      </c>
      <c r="D772">
        <v>10</v>
      </c>
      <c r="E772" t="s">
        <v>17</v>
      </c>
      <c r="F772" t="s">
        <v>34</v>
      </c>
      <c r="G772">
        <v>78</v>
      </c>
      <c r="H772">
        <v>100</v>
      </c>
      <c r="I772" t="s">
        <v>35</v>
      </c>
      <c r="J772" t="str">
        <f>IF(Student_Data[[#This Row],[Marks]] &gt;= 90,"A+",IF(Student_Data[[#This Row],[Marks]]&gt;=80,"A",IF(Student_Data[[#This Row],[Marks]]&gt;=70,"B",IF(Student_Data[[#This Row],[Marks]]&gt;=60,"C","F"))))</f>
        <v>B</v>
      </c>
      <c r="K772" t="str">
        <f>IF(Student_Data[[#This Row],[Marks]]&gt;=35,"Pass","Fail")</f>
        <v>Pass</v>
      </c>
    </row>
    <row r="773" spans="1:11" x14ac:dyDescent="0.3">
      <c r="A773" t="s">
        <v>894</v>
      </c>
      <c r="B773" t="s">
        <v>63</v>
      </c>
      <c r="C773" t="s">
        <v>11</v>
      </c>
      <c r="D773">
        <v>7</v>
      </c>
      <c r="E773" t="s">
        <v>12</v>
      </c>
      <c r="F773" t="s">
        <v>26</v>
      </c>
      <c r="G773">
        <v>48</v>
      </c>
      <c r="H773">
        <v>77</v>
      </c>
      <c r="I773" t="s">
        <v>49</v>
      </c>
      <c r="J773" t="str">
        <f>IF(Student_Data[[#This Row],[Marks]] &gt;= 90,"A+",IF(Student_Data[[#This Row],[Marks]]&gt;=80,"A",IF(Student_Data[[#This Row],[Marks]]&gt;=70,"B",IF(Student_Data[[#This Row],[Marks]]&gt;=60,"C","F"))))</f>
        <v>F</v>
      </c>
      <c r="K773" t="str">
        <f>IF(Student_Data[[#This Row],[Marks]]&gt;=35,"Pass","Fail")</f>
        <v>Pass</v>
      </c>
    </row>
    <row r="774" spans="1:11" x14ac:dyDescent="0.3">
      <c r="A774" t="s">
        <v>895</v>
      </c>
      <c r="B774" t="s">
        <v>204</v>
      </c>
      <c r="C774" t="s">
        <v>25</v>
      </c>
      <c r="D774">
        <v>10</v>
      </c>
      <c r="E774" t="s">
        <v>33</v>
      </c>
      <c r="F774" t="s">
        <v>26</v>
      </c>
      <c r="G774">
        <v>50</v>
      </c>
      <c r="H774">
        <v>71</v>
      </c>
      <c r="I774" t="s">
        <v>49</v>
      </c>
      <c r="J774" t="str">
        <f>IF(Student_Data[[#This Row],[Marks]] &gt;= 90,"A+",IF(Student_Data[[#This Row],[Marks]]&gt;=80,"A",IF(Student_Data[[#This Row],[Marks]]&gt;=70,"B",IF(Student_Data[[#This Row],[Marks]]&gt;=60,"C","F"))))</f>
        <v>F</v>
      </c>
      <c r="K774" t="str">
        <f>IF(Student_Data[[#This Row],[Marks]]&gt;=35,"Pass","Fail")</f>
        <v>Pass</v>
      </c>
    </row>
    <row r="775" spans="1:11" x14ac:dyDescent="0.3">
      <c r="A775" t="s">
        <v>896</v>
      </c>
      <c r="B775" t="s">
        <v>104</v>
      </c>
      <c r="C775" t="s">
        <v>11</v>
      </c>
      <c r="D775">
        <v>10</v>
      </c>
      <c r="E775" t="s">
        <v>33</v>
      </c>
      <c r="F775" t="s">
        <v>13</v>
      </c>
      <c r="G775">
        <v>82</v>
      </c>
      <c r="H775">
        <v>62</v>
      </c>
      <c r="I775" t="s">
        <v>40</v>
      </c>
      <c r="J775" t="str">
        <f>IF(Student_Data[[#This Row],[Marks]] &gt;= 90,"A+",IF(Student_Data[[#This Row],[Marks]]&gt;=80,"A",IF(Student_Data[[#This Row],[Marks]]&gt;=70,"B",IF(Student_Data[[#This Row],[Marks]]&gt;=60,"C","F"))))</f>
        <v>A</v>
      </c>
      <c r="K775" t="str">
        <f>IF(Student_Data[[#This Row],[Marks]]&gt;=35,"Pass","Fail")</f>
        <v>Pass</v>
      </c>
    </row>
    <row r="776" spans="1:11" x14ac:dyDescent="0.3">
      <c r="A776" t="s">
        <v>897</v>
      </c>
      <c r="B776" t="s">
        <v>200</v>
      </c>
      <c r="C776" t="s">
        <v>11</v>
      </c>
      <c r="D776">
        <v>8</v>
      </c>
      <c r="E776" t="s">
        <v>12</v>
      </c>
      <c r="F776" t="s">
        <v>43</v>
      </c>
      <c r="G776">
        <v>57</v>
      </c>
      <c r="H776">
        <v>98</v>
      </c>
      <c r="I776" t="s">
        <v>19</v>
      </c>
      <c r="J776" t="str">
        <f>IF(Student_Data[[#This Row],[Marks]] &gt;= 90,"A+",IF(Student_Data[[#This Row],[Marks]]&gt;=80,"A",IF(Student_Data[[#This Row],[Marks]]&gt;=70,"B",IF(Student_Data[[#This Row],[Marks]]&gt;=60,"C","F"))))</f>
        <v>F</v>
      </c>
      <c r="K776" t="str">
        <f>IF(Student_Data[[#This Row],[Marks]]&gt;=35,"Pass","Fail")</f>
        <v>Pass</v>
      </c>
    </row>
    <row r="777" spans="1:11" x14ac:dyDescent="0.3">
      <c r="A777" t="s">
        <v>898</v>
      </c>
      <c r="B777" t="s">
        <v>21</v>
      </c>
      <c r="C777" t="s">
        <v>25</v>
      </c>
      <c r="D777">
        <v>12</v>
      </c>
      <c r="E777" t="s">
        <v>33</v>
      </c>
      <c r="F777" t="s">
        <v>22</v>
      </c>
      <c r="G777">
        <v>44</v>
      </c>
      <c r="H777">
        <v>86</v>
      </c>
      <c r="I777" t="s">
        <v>31</v>
      </c>
      <c r="J777" t="str">
        <f>IF(Student_Data[[#This Row],[Marks]] &gt;= 90,"A+",IF(Student_Data[[#This Row],[Marks]]&gt;=80,"A",IF(Student_Data[[#This Row],[Marks]]&gt;=70,"B",IF(Student_Data[[#This Row],[Marks]]&gt;=60,"C","F"))))</f>
        <v>F</v>
      </c>
      <c r="K777" t="str">
        <f>IF(Student_Data[[#This Row],[Marks]]&gt;=35,"Pass","Fail")</f>
        <v>Pass</v>
      </c>
    </row>
    <row r="778" spans="1:11" x14ac:dyDescent="0.3">
      <c r="A778" t="s">
        <v>899</v>
      </c>
      <c r="B778" t="s">
        <v>16</v>
      </c>
      <c r="C778" t="s">
        <v>11</v>
      </c>
      <c r="D778">
        <v>11</v>
      </c>
      <c r="E778" t="s">
        <v>12</v>
      </c>
      <c r="F778" t="s">
        <v>43</v>
      </c>
      <c r="G778">
        <v>36</v>
      </c>
      <c r="H778">
        <v>67</v>
      </c>
      <c r="I778" t="s">
        <v>14</v>
      </c>
      <c r="J778" t="str">
        <f>IF(Student_Data[[#This Row],[Marks]] &gt;= 90,"A+",IF(Student_Data[[#This Row],[Marks]]&gt;=80,"A",IF(Student_Data[[#This Row],[Marks]]&gt;=70,"B",IF(Student_Data[[#This Row],[Marks]]&gt;=60,"C","F"))))</f>
        <v>F</v>
      </c>
      <c r="K778" t="str">
        <f>IF(Student_Data[[#This Row],[Marks]]&gt;=35,"Pass","Fail")</f>
        <v>Pass</v>
      </c>
    </row>
    <row r="779" spans="1:11" x14ac:dyDescent="0.3">
      <c r="A779" t="s">
        <v>900</v>
      </c>
      <c r="B779" t="s">
        <v>10</v>
      </c>
      <c r="C779" t="s">
        <v>25</v>
      </c>
      <c r="D779">
        <v>10</v>
      </c>
      <c r="E779" t="s">
        <v>17</v>
      </c>
      <c r="F779" t="s">
        <v>43</v>
      </c>
      <c r="G779">
        <v>92</v>
      </c>
      <c r="H779">
        <v>84</v>
      </c>
      <c r="I779" t="s">
        <v>31</v>
      </c>
      <c r="J779" t="str">
        <f>IF(Student_Data[[#This Row],[Marks]] &gt;= 90,"A+",IF(Student_Data[[#This Row],[Marks]]&gt;=80,"A",IF(Student_Data[[#This Row],[Marks]]&gt;=70,"B",IF(Student_Data[[#This Row],[Marks]]&gt;=60,"C","F"))))</f>
        <v>A+</v>
      </c>
      <c r="K779" t="str">
        <f>IF(Student_Data[[#This Row],[Marks]]&gt;=35,"Pass","Fail")</f>
        <v>Pass</v>
      </c>
    </row>
    <row r="780" spans="1:11" x14ac:dyDescent="0.3">
      <c r="A780" t="s">
        <v>901</v>
      </c>
      <c r="B780" t="s">
        <v>226</v>
      </c>
      <c r="C780" t="s">
        <v>25</v>
      </c>
      <c r="D780">
        <v>6</v>
      </c>
      <c r="E780" t="s">
        <v>33</v>
      </c>
      <c r="F780" t="s">
        <v>26</v>
      </c>
      <c r="G780">
        <v>58</v>
      </c>
      <c r="H780">
        <v>73</v>
      </c>
      <c r="I780" t="s">
        <v>19</v>
      </c>
      <c r="J780" t="str">
        <f>IF(Student_Data[[#This Row],[Marks]] &gt;= 90,"A+",IF(Student_Data[[#This Row],[Marks]]&gt;=80,"A",IF(Student_Data[[#This Row],[Marks]]&gt;=70,"B",IF(Student_Data[[#This Row],[Marks]]&gt;=60,"C","F"))))</f>
        <v>F</v>
      </c>
      <c r="K780" t="str">
        <f>IF(Student_Data[[#This Row],[Marks]]&gt;=35,"Pass","Fail")</f>
        <v>Pass</v>
      </c>
    </row>
    <row r="781" spans="1:11" x14ac:dyDescent="0.3">
      <c r="A781" t="s">
        <v>902</v>
      </c>
      <c r="B781" t="s">
        <v>55</v>
      </c>
      <c r="C781" t="s">
        <v>11</v>
      </c>
      <c r="D781">
        <v>10</v>
      </c>
      <c r="E781" t="s">
        <v>17</v>
      </c>
      <c r="F781" t="s">
        <v>43</v>
      </c>
      <c r="G781">
        <v>46</v>
      </c>
      <c r="H781">
        <v>97</v>
      </c>
      <c r="I781" t="s">
        <v>40</v>
      </c>
      <c r="J781" t="str">
        <f>IF(Student_Data[[#This Row],[Marks]] &gt;= 90,"A+",IF(Student_Data[[#This Row],[Marks]]&gt;=80,"A",IF(Student_Data[[#This Row],[Marks]]&gt;=70,"B",IF(Student_Data[[#This Row],[Marks]]&gt;=60,"C","F"))))</f>
        <v>F</v>
      </c>
      <c r="K781" t="str">
        <f>IF(Student_Data[[#This Row],[Marks]]&gt;=35,"Pass","Fail")</f>
        <v>Pass</v>
      </c>
    </row>
    <row r="782" spans="1:11" x14ac:dyDescent="0.3">
      <c r="A782" t="s">
        <v>903</v>
      </c>
      <c r="B782" t="s">
        <v>401</v>
      </c>
      <c r="C782" t="s">
        <v>25</v>
      </c>
      <c r="D782">
        <v>8</v>
      </c>
      <c r="E782" t="s">
        <v>17</v>
      </c>
      <c r="F782" t="s">
        <v>34</v>
      </c>
      <c r="G782">
        <v>55</v>
      </c>
      <c r="H782">
        <v>64</v>
      </c>
      <c r="I782" t="s">
        <v>35</v>
      </c>
      <c r="J782" t="str">
        <f>IF(Student_Data[[#This Row],[Marks]] &gt;= 90,"A+",IF(Student_Data[[#This Row],[Marks]]&gt;=80,"A",IF(Student_Data[[#This Row],[Marks]]&gt;=70,"B",IF(Student_Data[[#This Row],[Marks]]&gt;=60,"C","F"))))</f>
        <v>F</v>
      </c>
      <c r="K782" t="str">
        <f>IF(Student_Data[[#This Row],[Marks]]&gt;=35,"Pass","Fail")</f>
        <v>Pass</v>
      </c>
    </row>
    <row r="783" spans="1:11" x14ac:dyDescent="0.3">
      <c r="A783" t="s">
        <v>904</v>
      </c>
      <c r="B783" t="s">
        <v>186</v>
      </c>
      <c r="C783" t="s">
        <v>25</v>
      </c>
      <c r="D783">
        <v>8</v>
      </c>
      <c r="E783" t="s">
        <v>17</v>
      </c>
      <c r="F783" t="s">
        <v>34</v>
      </c>
      <c r="G783">
        <v>85</v>
      </c>
      <c r="H783">
        <v>92</v>
      </c>
      <c r="I783" t="s">
        <v>49</v>
      </c>
      <c r="J783" t="str">
        <f>IF(Student_Data[[#This Row],[Marks]] &gt;= 90,"A+",IF(Student_Data[[#This Row],[Marks]]&gt;=80,"A",IF(Student_Data[[#This Row],[Marks]]&gt;=70,"B",IF(Student_Data[[#This Row],[Marks]]&gt;=60,"C","F"))))</f>
        <v>A</v>
      </c>
      <c r="K783" t="str">
        <f>IF(Student_Data[[#This Row],[Marks]]&gt;=35,"Pass","Fail")</f>
        <v>Pass</v>
      </c>
    </row>
    <row r="784" spans="1:11" x14ac:dyDescent="0.3">
      <c r="A784" t="s">
        <v>905</v>
      </c>
      <c r="B784" t="s">
        <v>116</v>
      </c>
      <c r="C784" t="s">
        <v>25</v>
      </c>
      <c r="D784">
        <v>8</v>
      </c>
      <c r="E784" t="s">
        <v>33</v>
      </c>
      <c r="F784" t="s">
        <v>18</v>
      </c>
      <c r="G784">
        <v>59</v>
      </c>
      <c r="H784">
        <v>61</v>
      </c>
      <c r="I784" t="s">
        <v>46</v>
      </c>
      <c r="J784" t="str">
        <f>IF(Student_Data[[#This Row],[Marks]] &gt;= 90,"A+",IF(Student_Data[[#This Row],[Marks]]&gt;=80,"A",IF(Student_Data[[#This Row],[Marks]]&gt;=70,"B",IF(Student_Data[[#This Row],[Marks]]&gt;=60,"C","F"))))</f>
        <v>F</v>
      </c>
      <c r="K784" t="str">
        <f>IF(Student_Data[[#This Row],[Marks]]&gt;=35,"Pass","Fail")</f>
        <v>Pass</v>
      </c>
    </row>
    <row r="785" spans="1:11" x14ac:dyDescent="0.3">
      <c r="A785" t="s">
        <v>906</v>
      </c>
      <c r="B785" t="s">
        <v>114</v>
      </c>
      <c r="C785" t="s">
        <v>25</v>
      </c>
      <c r="D785">
        <v>12</v>
      </c>
      <c r="E785" t="s">
        <v>33</v>
      </c>
      <c r="F785" t="s">
        <v>18</v>
      </c>
      <c r="G785">
        <v>75</v>
      </c>
      <c r="H785">
        <v>82</v>
      </c>
      <c r="I785" t="s">
        <v>14</v>
      </c>
      <c r="J785" t="str">
        <f>IF(Student_Data[[#This Row],[Marks]] &gt;= 90,"A+",IF(Student_Data[[#This Row],[Marks]]&gt;=80,"A",IF(Student_Data[[#This Row],[Marks]]&gt;=70,"B",IF(Student_Data[[#This Row],[Marks]]&gt;=60,"C","F"))))</f>
        <v>B</v>
      </c>
      <c r="K785" t="str">
        <f>IF(Student_Data[[#This Row],[Marks]]&gt;=35,"Pass","Fail")</f>
        <v>Pass</v>
      </c>
    </row>
    <row r="786" spans="1:11" x14ac:dyDescent="0.3">
      <c r="A786" t="s">
        <v>907</v>
      </c>
      <c r="B786" t="s">
        <v>226</v>
      </c>
      <c r="C786" t="s">
        <v>11</v>
      </c>
      <c r="D786">
        <v>7</v>
      </c>
      <c r="E786" t="s">
        <v>12</v>
      </c>
      <c r="F786" t="s">
        <v>26</v>
      </c>
      <c r="G786">
        <v>46</v>
      </c>
      <c r="H786">
        <v>88</v>
      </c>
      <c r="I786" t="s">
        <v>35</v>
      </c>
      <c r="J786" t="str">
        <f>IF(Student_Data[[#This Row],[Marks]] &gt;= 90,"A+",IF(Student_Data[[#This Row],[Marks]]&gt;=80,"A",IF(Student_Data[[#This Row],[Marks]]&gt;=70,"B",IF(Student_Data[[#This Row],[Marks]]&gt;=60,"C","F"))))</f>
        <v>F</v>
      </c>
      <c r="K786" t="str">
        <f>IF(Student_Data[[#This Row],[Marks]]&gt;=35,"Pass","Fail")</f>
        <v>Pass</v>
      </c>
    </row>
    <row r="787" spans="1:11" x14ac:dyDescent="0.3">
      <c r="A787" t="s">
        <v>908</v>
      </c>
      <c r="B787" t="s">
        <v>55</v>
      </c>
      <c r="C787" t="s">
        <v>11</v>
      </c>
      <c r="D787">
        <v>9</v>
      </c>
      <c r="E787" t="s">
        <v>12</v>
      </c>
      <c r="F787" t="s">
        <v>13</v>
      </c>
      <c r="G787">
        <v>55</v>
      </c>
      <c r="H787">
        <v>100</v>
      </c>
      <c r="I787" t="s">
        <v>40</v>
      </c>
      <c r="J787" t="str">
        <f>IF(Student_Data[[#This Row],[Marks]] &gt;= 90,"A+",IF(Student_Data[[#This Row],[Marks]]&gt;=80,"A",IF(Student_Data[[#This Row],[Marks]]&gt;=70,"B",IF(Student_Data[[#This Row],[Marks]]&gt;=60,"C","F"))))</f>
        <v>F</v>
      </c>
      <c r="K787" t="str">
        <f>IF(Student_Data[[#This Row],[Marks]]&gt;=35,"Pass","Fail")</f>
        <v>Pass</v>
      </c>
    </row>
    <row r="788" spans="1:11" x14ac:dyDescent="0.3">
      <c r="A788" t="s">
        <v>909</v>
      </c>
      <c r="B788" t="s">
        <v>297</v>
      </c>
      <c r="C788" t="s">
        <v>11</v>
      </c>
      <c r="D788">
        <v>6</v>
      </c>
      <c r="E788" t="s">
        <v>33</v>
      </c>
      <c r="F788" t="s">
        <v>13</v>
      </c>
      <c r="G788">
        <v>97</v>
      </c>
      <c r="H788">
        <v>84</v>
      </c>
      <c r="I788" t="s">
        <v>35</v>
      </c>
      <c r="J788" t="str">
        <f>IF(Student_Data[[#This Row],[Marks]] &gt;= 90,"A+",IF(Student_Data[[#This Row],[Marks]]&gt;=80,"A",IF(Student_Data[[#This Row],[Marks]]&gt;=70,"B",IF(Student_Data[[#This Row],[Marks]]&gt;=60,"C","F"))))</f>
        <v>A+</v>
      </c>
      <c r="K788" t="str">
        <f>IF(Student_Data[[#This Row],[Marks]]&gt;=35,"Pass","Fail")</f>
        <v>Pass</v>
      </c>
    </row>
    <row r="789" spans="1:11" x14ac:dyDescent="0.3">
      <c r="A789" t="s">
        <v>910</v>
      </c>
      <c r="B789" t="s">
        <v>109</v>
      </c>
      <c r="C789" t="s">
        <v>25</v>
      </c>
      <c r="D789">
        <v>10</v>
      </c>
      <c r="E789" t="s">
        <v>17</v>
      </c>
      <c r="F789" t="s">
        <v>22</v>
      </c>
      <c r="G789">
        <v>77</v>
      </c>
      <c r="H789">
        <v>67</v>
      </c>
      <c r="I789" t="s">
        <v>40</v>
      </c>
      <c r="J789" t="str">
        <f>IF(Student_Data[[#This Row],[Marks]] &gt;= 90,"A+",IF(Student_Data[[#This Row],[Marks]]&gt;=80,"A",IF(Student_Data[[#This Row],[Marks]]&gt;=70,"B",IF(Student_Data[[#This Row],[Marks]]&gt;=60,"C","F"))))</f>
        <v>B</v>
      </c>
      <c r="K789" t="str">
        <f>IF(Student_Data[[#This Row],[Marks]]&gt;=35,"Pass","Fail")</f>
        <v>Pass</v>
      </c>
    </row>
    <row r="790" spans="1:11" x14ac:dyDescent="0.3">
      <c r="A790" t="s">
        <v>911</v>
      </c>
      <c r="B790" t="s">
        <v>147</v>
      </c>
      <c r="C790" t="s">
        <v>25</v>
      </c>
      <c r="D790">
        <v>8</v>
      </c>
      <c r="E790" t="s">
        <v>17</v>
      </c>
      <c r="F790" t="s">
        <v>34</v>
      </c>
      <c r="G790">
        <v>92</v>
      </c>
      <c r="H790">
        <v>84</v>
      </c>
      <c r="I790" t="s">
        <v>19</v>
      </c>
      <c r="J790" t="str">
        <f>IF(Student_Data[[#This Row],[Marks]] &gt;= 90,"A+",IF(Student_Data[[#This Row],[Marks]]&gt;=80,"A",IF(Student_Data[[#This Row],[Marks]]&gt;=70,"B",IF(Student_Data[[#This Row],[Marks]]&gt;=60,"C","F"))))</f>
        <v>A+</v>
      </c>
      <c r="K790" t="str">
        <f>IF(Student_Data[[#This Row],[Marks]]&gt;=35,"Pass","Fail")</f>
        <v>Pass</v>
      </c>
    </row>
    <row r="791" spans="1:11" x14ac:dyDescent="0.3">
      <c r="A791" t="s">
        <v>912</v>
      </c>
      <c r="B791" t="s">
        <v>24</v>
      </c>
      <c r="C791" t="s">
        <v>25</v>
      </c>
      <c r="D791">
        <v>12</v>
      </c>
      <c r="E791" t="s">
        <v>33</v>
      </c>
      <c r="F791" t="s">
        <v>43</v>
      </c>
      <c r="G791">
        <v>62</v>
      </c>
      <c r="H791">
        <v>87</v>
      </c>
      <c r="I791" t="s">
        <v>19</v>
      </c>
      <c r="J791" t="str">
        <f>IF(Student_Data[[#This Row],[Marks]] &gt;= 90,"A+",IF(Student_Data[[#This Row],[Marks]]&gt;=80,"A",IF(Student_Data[[#This Row],[Marks]]&gt;=70,"B",IF(Student_Data[[#This Row],[Marks]]&gt;=60,"C","F"))))</f>
        <v>C</v>
      </c>
      <c r="K791" t="str">
        <f>IF(Student_Data[[#This Row],[Marks]]&gt;=35,"Pass","Fail")</f>
        <v>Pass</v>
      </c>
    </row>
    <row r="792" spans="1:11" x14ac:dyDescent="0.3">
      <c r="A792" t="s">
        <v>913</v>
      </c>
      <c r="B792" t="s">
        <v>200</v>
      </c>
      <c r="C792" t="s">
        <v>25</v>
      </c>
      <c r="D792">
        <v>6</v>
      </c>
      <c r="E792" t="s">
        <v>33</v>
      </c>
      <c r="F792" t="s">
        <v>18</v>
      </c>
      <c r="G792">
        <v>91</v>
      </c>
      <c r="H792">
        <v>69</v>
      </c>
      <c r="I792" t="s">
        <v>46</v>
      </c>
      <c r="J792" t="str">
        <f>IF(Student_Data[[#This Row],[Marks]] &gt;= 90,"A+",IF(Student_Data[[#This Row],[Marks]]&gt;=80,"A",IF(Student_Data[[#This Row],[Marks]]&gt;=70,"B",IF(Student_Data[[#This Row],[Marks]]&gt;=60,"C","F"))))</f>
        <v>A+</v>
      </c>
      <c r="K792" t="str">
        <f>IF(Student_Data[[#This Row],[Marks]]&gt;=35,"Pass","Fail")</f>
        <v>Pass</v>
      </c>
    </row>
    <row r="793" spans="1:11" x14ac:dyDescent="0.3">
      <c r="A793" t="s">
        <v>914</v>
      </c>
      <c r="B793" t="s">
        <v>61</v>
      </c>
      <c r="C793" t="s">
        <v>11</v>
      </c>
      <c r="D793">
        <v>11</v>
      </c>
      <c r="E793" t="s">
        <v>33</v>
      </c>
      <c r="F793" t="s">
        <v>34</v>
      </c>
      <c r="G793">
        <v>55</v>
      </c>
      <c r="H793">
        <v>73</v>
      </c>
      <c r="I793" t="s">
        <v>14</v>
      </c>
      <c r="J793" t="str">
        <f>IF(Student_Data[[#This Row],[Marks]] &gt;= 90,"A+",IF(Student_Data[[#This Row],[Marks]]&gt;=80,"A",IF(Student_Data[[#This Row],[Marks]]&gt;=70,"B",IF(Student_Data[[#This Row],[Marks]]&gt;=60,"C","F"))))</f>
        <v>F</v>
      </c>
      <c r="K793" t="str">
        <f>IF(Student_Data[[#This Row],[Marks]]&gt;=35,"Pass","Fail")</f>
        <v>Pass</v>
      </c>
    </row>
    <row r="794" spans="1:11" x14ac:dyDescent="0.3">
      <c r="A794" t="s">
        <v>915</v>
      </c>
      <c r="B794" t="s">
        <v>72</v>
      </c>
      <c r="C794" t="s">
        <v>11</v>
      </c>
      <c r="D794">
        <v>10</v>
      </c>
      <c r="E794" t="s">
        <v>12</v>
      </c>
      <c r="F794" t="s">
        <v>34</v>
      </c>
      <c r="G794">
        <v>47</v>
      </c>
      <c r="H794">
        <v>66</v>
      </c>
      <c r="I794" t="s">
        <v>19</v>
      </c>
      <c r="J794" t="str">
        <f>IF(Student_Data[[#This Row],[Marks]] &gt;= 90,"A+",IF(Student_Data[[#This Row],[Marks]]&gt;=80,"A",IF(Student_Data[[#This Row],[Marks]]&gt;=70,"B",IF(Student_Data[[#This Row],[Marks]]&gt;=60,"C","F"))))</f>
        <v>F</v>
      </c>
      <c r="K794" t="str">
        <f>IF(Student_Data[[#This Row],[Marks]]&gt;=35,"Pass","Fail")</f>
        <v>Pass</v>
      </c>
    </row>
    <row r="795" spans="1:11" x14ac:dyDescent="0.3">
      <c r="A795" t="s">
        <v>916</v>
      </c>
      <c r="B795" t="s">
        <v>297</v>
      </c>
      <c r="C795" t="s">
        <v>11</v>
      </c>
      <c r="D795">
        <v>10</v>
      </c>
      <c r="E795" t="s">
        <v>17</v>
      </c>
      <c r="F795" t="s">
        <v>18</v>
      </c>
      <c r="G795">
        <v>61</v>
      </c>
      <c r="H795">
        <v>84</v>
      </c>
      <c r="I795" t="s">
        <v>14</v>
      </c>
      <c r="J795" t="str">
        <f>IF(Student_Data[[#This Row],[Marks]] &gt;= 90,"A+",IF(Student_Data[[#This Row],[Marks]]&gt;=80,"A",IF(Student_Data[[#This Row],[Marks]]&gt;=70,"B",IF(Student_Data[[#This Row],[Marks]]&gt;=60,"C","F"))))</f>
        <v>C</v>
      </c>
      <c r="K795" t="str">
        <f>IF(Student_Data[[#This Row],[Marks]]&gt;=35,"Pass","Fail")</f>
        <v>Pass</v>
      </c>
    </row>
    <row r="796" spans="1:11" x14ac:dyDescent="0.3">
      <c r="A796" t="s">
        <v>917</v>
      </c>
      <c r="B796" t="s">
        <v>68</v>
      </c>
      <c r="C796" t="s">
        <v>25</v>
      </c>
      <c r="D796">
        <v>12</v>
      </c>
      <c r="E796" t="s">
        <v>12</v>
      </c>
      <c r="F796" t="s">
        <v>34</v>
      </c>
      <c r="G796">
        <v>80</v>
      </c>
      <c r="H796">
        <v>62</v>
      </c>
      <c r="I796" t="s">
        <v>31</v>
      </c>
      <c r="J796" t="str">
        <f>IF(Student_Data[[#This Row],[Marks]] &gt;= 90,"A+",IF(Student_Data[[#This Row],[Marks]]&gt;=80,"A",IF(Student_Data[[#This Row],[Marks]]&gt;=70,"B",IF(Student_Data[[#This Row],[Marks]]&gt;=60,"C","F"))))</f>
        <v>A</v>
      </c>
      <c r="K796" t="str">
        <f>IF(Student_Data[[#This Row],[Marks]]&gt;=35,"Pass","Fail")</f>
        <v>Pass</v>
      </c>
    </row>
    <row r="797" spans="1:11" x14ac:dyDescent="0.3">
      <c r="A797" t="s">
        <v>918</v>
      </c>
      <c r="B797" t="s">
        <v>254</v>
      </c>
      <c r="C797" t="s">
        <v>11</v>
      </c>
      <c r="D797">
        <v>8</v>
      </c>
      <c r="E797" t="s">
        <v>12</v>
      </c>
      <c r="F797" t="s">
        <v>34</v>
      </c>
      <c r="G797">
        <v>100</v>
      </c>
      <c r="H797">
        <v>70</v>
      </c>
      <c r="I797" t="s">
        <v>46</v>
      </c>
      <c r="J797" t="str">
        <f>IF(Student_Data[[#This Row],[Marks]] &gt;= 90,"A+",IF(Student_Data[[#This Row],[Marks]]&gt;=80,"A",IF(Student_Data[[#This Row],[Marks]]&gt;=70,"B",IF(Student_Data[[#This Row],[Marks]]&gt;=60,"C","F"))))</f>
        <v>A+</v>
      </c>
      <c r="K797" t="str">
        <f>IF(Student_Data[[#This Row],[Marks]]&gt;=35,"Pass","Fail")</f>
        <v>Pass</v>
      </c>
    </row>
    <row r="798" spans="1:11" x14ac:dyDescent="0.3">
      <c r="A798" t="s">
        <v>919</v>
      </c>
      <c r="B798" t="s">
        <v>189</v>
      </c>
      <c r="C798" t="s">
        <v>11</v>
      </c>
      <c r="D798">
        <v>11</v>
      </c>
      <c r="E798" t="s">
        <v>17</v>
      </c>
      <c r="F798" t="s">
        <v>26</v>
      </c>
      <c r="G798">
        <v>89</v>
      </c>
      <c r="H798">
        <v>70</v>
      </c>
      <c r="I798" t="s">
        <v>31</v>
      </c>
      <c r="J798" t="str">
        <f>IF(Student_Data[[#This Row],[Marks]] &gt;= 90,"A+",IF(Student_Data[[#This Row],[Marks]]&gt;=80,"A",IF(Student_Data[[#This Row],[Marks]]&gt;=70,"B",IF(Student_Data[[#This Row],[Marks]]&gt;=60,"C","F"))))</f>
        <v>A</v>
      </c>
      <c r="K798" t="str">
        <f>IF(Student_Data[[#This Row],[Marks]]&gt;=35,"Pass","Fail")</f>
        <v>Pass</v>
      </c>
    </row>
    <row r="799" spans="1:11" x14ac:dyDescent="0.3">
      <c r="A799" t="s">
        <v>920</v>
      </c>
      <c r="B799" t="s">
        <v>198</v>
      </c>
      <c r="C799" t="s">
        <v>25</v>
      </c>
      <c r="D799">
        <v>12</v>
      </c>
      <c r="E799" t="s">
        <v>17</v>
      </c>
      <c r="F799" t="s">
        <v>18</v>
      </c>
      <c r="G799">
        <v>83</v>
      </c>
      <c r="H799">
        <v>65</v>
      </c>
      <c r="I799" t="s">
        <v>31</v>
      </c>
      <c r="J799" t="str">
        <f>IF(Student_Data[[#This Row],[Marks]] &gt;= 90,"A+",IF(Student_Data[[#This Row],[Marks]]&gt;=80,"A",IF(Student_Data[[#This Row],[Marks]]&gt;=70,"B",IF(Student_Data[[#This Row],[Marks]]&gt;=60,"C","F"))))</f>
        <v>A</v>
      </c>
      <c r="K799" t="str">
        <f>IF(Student_Data[[#This Row],[Marks]]&gt;=35,"Pass","Fail")</f>
        <v>Pass</v>
      </c>
    </row>
    <row r="800" spans="1:11" x14ac:dyDescent="0.3">
      <c r="A800" t="s">
        <v>921</v>
      </c>
      <c r="B800" t="s">
        <v>30</v>
      </c>
      <c r="C800" t="s">
        <v>25</v>
      </c>
      <c r="D800">
        <v>6</v>
      </c>
      <c r="E800" t="s">
        <v>12</v>
      </c>
      <c r="F800" t="s">
        <v>18</v>
      </c>
      <c r="G800">
        <v>82</v>
      </c>
      <c r="H800">
        <v>95</v>
      </c>
      <c r="I800" t="s">
        <v>40</v>
      </c>
      <c r="J800" t="str">
        <f>IF(Student_Data[[#This Row],[Marks]] &gt;= 90,"A+",IF(Student_Data[[#This Row],[Marks]]&gt;=80,"A",IF(Student_Data[[#This Row],[Marks]]&gt;=70,"B",IF(Student_Data[[#This Row],[Marks]]&gt;=60,"C","F"))))</f>
        <v>A</v>
      </c>
      <c r="K800" t="str">
        <f>IF(Student_Data[[#This Row],[Marks]]&gt;=35,"Pass","Fail")</f>
        <v>Pass</v>
      </c>
    </row>
    <row r="801" spans="1:11" x14ac:dyDescent="0.3">
      <c r="A801" t="s">
        <v>922</v>
      </c>
      <c r="B801" t="s">
        <v>116</v>
      </c>
      <c r="C801" t="s">
        <v>25</v>
      </c>
      <c r="D801">
        <v>6</v>
      </c>
      <c r="E801" t="s">
        <v>12</v>
      </c>
      <c r="F801" t="s">
        <v>22</v>
      </c>
      <c r="G801">
        <v>35</v>
      </c>
      <c r="H801">
        <v>97</v>
      </c>
      <c r="I801" t="s">
        <v>31</v>
      </c>
      <c r="J801" t="str">
        <f>IF(Student_Data[[#This Row],[Marks]] &gt;= 90,"A+",IF(Student_Data[[#This Row],[Marks]]&gt;=80,"A",IF(Student_Data[[#This Row],[Marks]]&gt;=70,"B",IF(Student_Data[[#This Row],[Marks]]&gt;=60,"C","F"))))</f>
        <v>F</v>
      </c>
      <c r="K801" t="str">
        <f>IF(Student_Data[[#This Row],[Marks]]&gt;=35,"Pass","Fail")</f>
        <v>Pass</v>
      </c>
    </row>
    <row r="802" spans="1:11" x14ac:dyDescent="0.3">
      <c r="A802" t="s">
        <v>923</v>
      </c>
      <c r="B802" t="s">
        <v>39</v>
      </c>
      <c r="C802" t="s">
        <v>25</v>
      </c>
      <c r="D802">
        <v>9</v>
      </c>
      <c r="E802" t="s">
        <v>17</v>
      </c>
      <c r="F802" t="s">
        <v>26</v>
      </c>
      <c r="G802">
        <v>89</v>
      </c>
      <c r="H802">
        <v>100</v>
      </c>
      <c r="I802" t="s">
        <v>19</v>
      </c>
      <c r="J802" t="str">
        <f>IF(Student_Data[[#This Row],[Marks]] &gt;= 90,"A+",IF(Student_Data[[#This Row],[Marks]]&gt;=80,"A",IF(Student_Data[[#This Row],[Marks]]&gt;=70,"B",IF(Student_Data[[#This Row],[Marks]]&gt;=60,"C","F"))))</f>
        <v>A</v>
      </c>
      <c r="K802" t="str">
        <f>IF(Student_Data[[#This Row],[Marks]]&gt;=35,"Pass","Fail")</f>
        <v>Pass</v>
      </c>
    </row>
    <row r="803" spans="1:11" x14ac:dyDescent="0.3">
      <c r="A803" t="s">
        <v>924</v>
      </c>
      <c r="B803" t="s">
        <v>239</v>
      </c>
      <c r="C803" t="s">
        <v>25</v>
      </c>
      <c r="D803">
        <v>8</v>
      </c>
      <c r="E803" t="s">
        <v>17</v>
      </c>
      <c r="F803" t="s">
        <v>43</v>
      </c>
      <c r="G803">
        <v>86</v>
      </c>
      <c r="H803">
        <v>83</v>
      </c>
      <c r="I803" t="s">
        <v>19</v>
      </c>
      <c r="J803" t="str">
        <f>IF(Student_Data[[#This Row],[Marks]] &gt;= 90,"A+",IF(Student_Data[[#This Row],[Marks]]&gt;=80,"A",IF(Student_Data[[#This Row],[Marks]]&gt;=70,"B",IF(Student_Data[[#This Row],[Marks]]&gt;=60,"C","F"))))</f>
        <v>A</v>
      </c>
      <c r="K803" t="str">
        <f>IF(Student_Data[[#This Row],[Marks]]&gt;=35,"Pass","Fail")</f>
        <v>Pass</v>
      </c>
    </row>
    <row r="804" spans="1:11" x14ac:dyDescent="0.3">
      <c r="A804" t="s">
        <v>925</v>
      </c>
      <c r="B804" t="s">
        <v>423</v>
      </c>
      <c r="C804" t="s">
        <v>11</v>
      </c>
      <c r="D804">
        <v>9</v>
      </c>
      <c r="E804" t="s">
        <v>33</v>
      </c>
      <c r="F804" t="s">
        <v>26</v>
      </c>
      <c r="G804">
        <v>35</v>
      </c>
      <c r="H804">
        <v>91</v>
      </c>
      <c r="I804" t="s">
        <v>31</v>
      </c>
      <c r="J804" t="str">
        <f>IF(Student_Data[[#This Row],[Marks]] &gt;= 90,"A+",IF(Student_Data[[#This Row],[Marks]]&gt;=80,"A",IF(Student_Data[[#This Row],[Marks]]&gt;=70,"B",IF(Student_Data[[#This Row],[Marks]]&gt;=60,"C","F"))))</f>
        <v>F</v>
      </c>
      <c r="K804" t="str">
        <f>IF(Student_Data[[#This Row],[Marks]]&gt;=35,"Pass","Fail")</f>
        <v>Pass</v>
      </c>
    </row>
    <row r="805" spans="1:11" x14ac:dyDescent="0.3">
      <c r="A805" t="s">
        <v>926</v>
      </c>
      <c r="B805" t="s">
        <v>72</v>
      </c>
      <c r="C805" t="s">
        <v>11</v>
      </c>
      <c r="D805">
        <v>11</v>
      </c>
      <c r="E805" t="s">
        <v>33</v>
      </c>
      <c r="F805" t="s">
        <v>13</v>
      </c>
      <c r="G805">
        <v>49</v>
      </c>
      <c r="H805">
        <v>65</v>
      </c>
      <c r="I805" t="s">
        <v>49</v>
      </c>
      <c r="J805" t="str">
        <f>IF(Student_Data[[#This Row],[Marks]] &gt;= 90,"A+",IF(Student_Data[[#This Row],[Marks]]&gt;=80,"A",IF(Student_Data[[#This Row],[Marks]]&gt;=70,"B",IF(Student_Data[[#This Row],[Marks]]&gt;=60,"C","F"))))</f>
        <v>F</v>
      </c>
      <c r="K805" t="str">
        <f>IF(Student_Data[[#This Row],[Marks]]&gt;=35,"Pass","Fail")</f>
        <v>Pass</v>
      </c>
    </row>
    <row r="806" spans="1:11" x14ac:dyDescent="0.3">
      <c r="A806" t="s">
        <v>927</v>
      </c>
      <c r="B806" t="s">
        <v>214</v>
      </c>
      <c r="C806" t="s">
        <v>11</v>
      </c>
      <c r="D806">
        <v>6</v>
      </c>
      <c r="E806" t="s">
        <v>33</v>
      </c>
      <c r="F806" t="s">
        <v>13</v>
      </c>
      <c r="G806">
        <v>100</v>
      </c>
      <c r="H806">
        <v>98</v>
      </c>
      <c r="I806" t="s">
        <v>46</v>
      </c>
      <c r="J806" t="str">
        <f>IF(Student_Data[[#This Row],[Marks]] &gt;= 90,"A+",IF(Student_Data[[#This Row],[Marks]]&gt;=80,"A",IF(Student_Data[[#This Row],[Marks]]&gt;=70,"B",IF(Student_Data[[#This Row],[Marks]]&gt;=60,"C","F"))))</f>
        <v>A+</v>
      </c>
      <c r="K806" t="str">
        <f>IF(Student_Data[[#This Row],[Marks]]&gt;=35,"Pass","Fail")</f>
        <v>Pass</v>
      </c>
    </row>
    <row r="807" spans="1:11" x14ac:dyDescent="0.3">
      <c r="A807" t="s">
        <v>928</v>
      </c>
      <c r="B807" t="s">
        <v>28</v>
      </c>
      <c r="C807" t="s">
        <v>11</v>
      </c>
      <c r="D807">
        <v>10</v>
      </c>
      <c r="E807" t="s">
        <v>17</v>
      </c>
      <c r="F807" t="s">
        <v>26</v>
      </c>
      <c r="G807">
        <v>53</v>
      </c>
      <c r="H807">
        <v>97</v>
      </c>
      <c r="I807" t="s">
        <v>19</v>
      </c>
      <c r="J807" t="str">
        <f>IF(Student_Data[[#This Row],[Marks]] &gt;= 90,"A+",IF(Student_Data[[#This Row],[Marks]]&gt;=80,"A",IF(Student_Data[[#This Row],[Marks]]&gt;=70,"B",IF(Student_Data[[#This Row],[Marks]]&gt;=60,"C","F"))))</f>
        <v>F</v>
      </c>
      <c r="K807" t="str">
        <f>IF(Student_Data[[#This Row],[Marks]]&gt;=35,"Pass","Fail")</f>
        <v>Pass</v>
      </c>
    </row>
    <row r="808" spans="1:11" x14ac:dyDescent="0.3">
      <c r="A808" t="s">
        <v>929</v>
      </c>
      <c r="B808" t="s">
        <v>121</v>
      </c>
      <c r="C808" t="s">
        <v>11</v>
      </c>
      <c r="D808">
        <v>8</v>
      </c>
      <c r="E808" t="s">
        <v>12</v>
      </c>
      <c r="F808" t="s">
        <v>26</v>
      </c>
      <c r="G808">
        <v>51</v>
      </c>
      <c r="H808">
        <v>95</v>
      </c>
      <c r="I808" t="s">
        <v>31</v>
      </c>
      <c r="J808" t="str">
        <f>IF(Student_Data[[#This Row],[Marks]] &gt;= 90,"A+",IF(Student_Data[[#This Row],[Marks]]&gt;=80,"A",IF(Student_Data[[#This Row],[Marks]]&gt;=70,"B",IF(Student_Data[[#This Row],[Marks]]&gt;=60,"C","F"))))</f>
        <v>F</v>
      </c>
      <c r="K808" t="str">
        <f>IF(Student_Data[[#This Row],[Marks]]&gt;=35,"Pass","Fail")</f>
        <v>Pass</v>
      </c>
    </row>
    <row r="809" spans="1:11" x14ac:dyDescent="0.3">
      <c r="A809" t="s">
        <v>930</v>
      </c>
      <c r="B809" t="s">
        <v>37</v>
      </c>
      <c r="C809" t="s">
        <v>11</v>
      </c>
      <c r="D809">
        <v>9</v>
      </c>
      <c r="E809" t="s">
        <v>12</v>
      </c>
      <c r="F809" t="s">
        <v>34</v>
      </c>
      <c r="G809">
        <v>68</v>
      </c>
      <c r="H809">
        <v>89</v>
      </c>
      <c r="I809" t="s">
        <v>49</v>
      </c>
      <c r="J809" t="str">
        <f>IF(Student_Data[[#This Row],[Marks]] &gt;= 90,"A+",IF(Student_Data[[#This Row],[Marks]]&gt;=80,"A",IF(Student_Data[[#This Row],[Marks]]&gt;=70,"B",IF(Student_Data[[#This Row],[Marks]]&gt;=60,"C","F"))))</f>
        <v>C</v>
      </c>
      <c r="K809" t="str">
        <f>IF(Student_Data[[#This Row],[Marks]]&gt;=35,"Pass","Fail")</f>
        <v>Pass</v>
      </c>
    </row>
    <row r="810" spans="1:11" x14ac:dyDescent="0.3">
      <c r="A810" t="s">
        <v>931</v>
      </c>
      <c r="B810" t="s">
        <v>129</v>
      </c>
      <c r="C810" t="s">
        <v>11</v>
      </c>
      <c r="D810">
        <v>8</v>
      </c>
      <c r="E810" t="s">
        <v>17</v>
      </c>
      <c r="F810" t="s">
        <v>13</v>
      </c>
      <c r="G810">
        <v>53</v>
      </c>
      <c r="H810">
        <v>70</v>
      </c>
      <c r="I810" t="s">
        <v>49</v>
      </c>
      <c r="J810" t="str">
        <f>IF(Student_Data[[#This Row],[Marks]] &gt;= 90,"A+",IF(Student_Data[[#This Row],[Marks]]&gt;=80,"A",IF(Student_Data[[#This Row],[Marks]]&gt;=70,"B",IF(Student_Data[[#This Row],[Marks]]&gt;=60,"C","F"))))</f>
        <v>F</v>
      </c>
      <c r="K810" t="str">
        <f>IF(Student_Data[[#This Row],[Marks]]&gt;=35,"Pass","Fail")</f>
        <v>Pass</v>
      </c>
    </row>
    <row r="811" spans="1:11" x14ac:dyDescent="0.3">
      <c r="A811" t="s">
        <v>932</v>
      </c>
      <c r="B811" t="s">
        <v>59</v>
      </c>
      <c r="C811" t="s">
        <v>25</v>
      </c>
      <c r="D811">
        <v>8</v>
      </c>
      <c r="E811" t="s">
        <v>12</v>
      </c>
      <c r="F811" t="s">
        <v>18</v>
      </c>
      <c r="G811">
        <v>62</v>
      </c>
      <c r="H811">
        <v>90</v>
      </c>
      <c r="I811" t="s">
        <v>35</v>
      </c>
      <c r="J811" t="str">
        <f>IF(Student_Data[[#This Row],[Marks]] &gt;= 90,"A+",IF(Student_Data[[#This Row],[Marks]]&gt;=80,"A",IF(Student_Data[[#This Row],[Marks]]&gt;=70,"B",IF(Student_Data[[#This Row],[Marks]]&gt;=60,"C","F"))))</f>
        <v>C</v>
      </c>
      <c r="K811" t="str">
        <f>IF(Student_Data[[#This Row],[Marks]]&gt;=35,"Pass","Fail")</f>
        <v>Pass</v>
      </c>
    </row>
    <row r="812" spans="1:11" x14ac:dyDescent="0.3">
      <c r="A812" t="s">
        <v>933</v>
      </c>
      <c r="B812" t="s">
        <v>457</v>
      </c>
      <c r="C812" t="s">
        <v>25</v>
      </c>
      <c r="D812">
        <v>10</v>
      </c>
      <c r="E812" t="s">
        <v>33</v>
      </c>
      <c r="F812" t="s">
        <v>18</v>
      </c>
      <c r="G812">
        <v>48</v>
      </c>
      <c r="H812">
        <v>94</v>
      </c>
      <c r="I812" t="s">
        <v>35</v>
      </c>
      <c r="J812" t="str">
        <f>IF(Student_Data[[#This Row],[Marks]] &gt;= 90,"A+",IF(Student_Data[[#This Row],[Marks]]&gt;=80,"A",IF(Student_Data[[#This Row],[Marks]]&gt;=70,"B",IF(Student_Data[[#This Row],[Marks]]&gt;=60,"C","F"))))</f>
        <v>F</v>
      </c>
      <c r="K812" t="str">
        <f>IF(Student_Data[[#This Row],[Marks]]&gt;=35,"Pass","Fail")</f>
        <v>Pass</v>
      </c>
    </row>
    <row r="813" spans="1:11" x14ac:dyDescent="0.3">
      <c r="A813" t="s">
        <v>934</v>
      </c>
      <c r="B813" t="s">
        <v>61</v>
      </c>
      <c r="C813" t="s">
        <v>25</v>
      </c>
      <c r="D813">
        <v>8</v>
      </c>
      <c r="E813" t="s">
        <v>33</v>
      </c>
      <c r="F813" t="s">
        <v>18</v>
      </c>
      <c r="G813">
        <v>66</v>
      </c>
      <c r="H813">
        <v>79</v>
      </c>
      <c r="I813" t="s">
        <v>14</v>
      </c>
      <c r="J813" t="str">
        <f>IF(Student_Data[[#This Row],[Marks]] &gt;= 90,"A+",IF(Student_Data[[#This Row],[Marks]]&gt;=80,"A",IF(Student_Data[[#This Row],[Marks]]&gt;=70,"B",IF(Student_Data[[#This Row],[Marks]]&gt;=60,"C","F"))))</f>
        <v>C</v>
      </c>
      <c r="K813" t="str">
        <f>IF(Student_Data[[#This Row],[Marks]]&gt;=35,"Pass","Fail")</f>
        <v>Pass</v>
      </c>
    </row>
    <row r="814" spans="1:11" x14ac:dyDescent="0.3">
      <c r="A814" t="s">
        <v>935</v>
      </c>
      <c r="B814" t="s">
        <v>189</v>
      </c>
      <c r="C814" t="s">
        <v>25</v>
      </c>
      <c r="D814">
        <v>10</v>
      </c>
      <c r="E814" t="s">
        <v>33</v>
      </c>
      <c r="F814" t="s">
        <v>18</v>
      </c>
      <c r="G814">
        <v>81</v>
      </c>
      <c r="H814">
        <v>76</v>
      </c>
      <c r="I814" t="s">
        <v>31</v>
      </c>
      <c r="J814" t="str">
        <f>IF(Student_Data[[#This Row],[Marks]] &gt;= 90,"A+",IF(Student_Data[[#This Row],[Marks]]&gt;=80,"A",IF(Student_Data[[#This Row],[Marks]]&gt;=70,"B",IF(Student_Data[[#This Row],[Marks]]&gt;=60,"C","F"))))</f>
        <v>A</v>
      </c>
      <c r="K814" t="str">
        <f>IF(Student_Data[[#This Row],[Marks]]&gt;=35,"Pass","Fail")</f>
        <v>Pass</v>
      </c>
    </row>
    <row r="815" spans="1:11" x14ac:dyDescent="0.3">
      <c r="A815" t="s">
        <v>936</v>
      </c>
      <c r="B815" t="s">
        <v>230</v>
      </c>
      <c r="C815" t="s">
        <v>11</v>
      </c>
      <c r="D815">
        <v>12</v>
      </c>
      <c r="E815" t="s">
        <v>33</v>
      </c>
      <c r="F815" t="s">
        <v>22</v>
      </c>
      <c r="G815">
        <v>30</v>
      </c>
      <c r="H815">
        <v>79</v>
      </c>
      <c r="I815" t="s">
        <v>49</v>
      </c>
      <c r="J815" t="str">
        <f>IF(Student_Data[[#This Row],[Marks]] &gt;= 90,"A+",IF(Student_Data[[#This Row],[Marks]]&gt;=80,"A",IF(Student_Data[[#This Row],[Marks]]&gt;=70,"B",IF(Student_Data[[#This Row],[Marks]]&gt;=60,"C","F"))))</f>
        <v>F</v>
      </c>
      <c r="K815" t="str">
        <f>IF(Student_Data[[#This Row],[Marks]]&gt;=35,"Pass","Fail")</f>
        <v>Fail</v>
      </c>
    </row>
    <row r="816" spans="1:11" x14ac:dyDescent="0.3">
      <c r="A816" t="s">
        <v>937</v>
      </c>
      <c r="B816" t="s">
        <v>80</v>
      </c>
      <c r="C816" t="s">
        <v>25</v>
      </c>
      <c r="D816">
        <v>6</v>
      </c>
      <c r="E816" t="s">
        <v>33</v>
      </c>
      <c r="F816" t="s">
        <v>22</v>
      </c>
      <c r="G816">
        <v>36</v>
      </c>
      <c r="H816">
        <v>71</v>
      </c>
      <c r="I816" t="s">
        <v>46</v>
      </c>
      <c r="J816" t="str">
        <f>IF(Student_Data[[#This Row],[Marks]] &gt;= 90,"A+",IF(Student_Data[[#This Row],[Marks]]&gt;=80,"A",IF(Student_Data[[#This Row],[Marks]]&gt;=70,"B",IF(Student_Data[[#This Row],[Marks]]&gt;=60,"C","F"))))</f>
        <v>F</v>
      </c>
      <c r="K816" t="str">
        <f>IF(Student_Data[[#This Row],[Marks]]&gt;=35,"Pass","Fail")</f>
        <v>Pass</v>
      </c>
    </row>
    <row r="817" spans="1:11" x14ac:dyDescent="0.3">
      <c r="A817" t="s">
        <v>938</v>
      </c>
      <c r="B817" t="s">
        <v>70</v>
      </c>
      <c r="C817" t="s">
        <v>11</v>
      </c>
      <c r="D817">
        <v>11</v>
      </c>
      <c r="E817" t="s">
        <v>33</v>
      </c>
      <c r="F817" t="s">
        <v>22</v>
      </c>
      <c r="G817">
        <v>94</v>
      </c>
      <c r="H817">
        <v>92</v>
      </c>
      <c r="I817" t="s">
        <v>46</v>
      </c>
      <c r="J817" t="str">
        <f>IF(Student_Data[[#This Row],[Marks]] &gt;= 90,"A+",IF(Student_Data[[#This Row],[Marks]]&gt;=80,"A",IF(Student_Data[[#This Row],[Marks]]&gt;=70,"B",IF(Student_Data[[#This Row],[Marks]]&gt;=60,"C","F"))))</f>
        <v>A+</v>
      </c>
      <c r="K817" t="str">
        <f>IF(Student_Data[[#This Row],[Marks]]&gt;=35,"Pass","Fail")</f>
        <v>Pass</v>
      </c>
    </row>
    <row r="818" spans="1:11" x14ac:dyDescent="0.3">
      <c r="A818" t="s">
        <v>939</v>
      </c>
      <c r="B818" t="s">
        <v>126</v>
      </c>
      <c r="C818" t="s">
        <v>11</v>
      </c>
      <c r="D818">
        <v>12</v>
      </c>
      <c r="E818" t="s">
        <v>17</v>
      </c>
      <c r="F818" t="s">
        <v>22</v>
      </c>
      <c r="G818">
        <v>23</v>
      </c>
      <c r="H818">
        <v>81</v>
      </c>
      <c r="I818" t="s">
        <v>31</v>
      </c>
      <c r="J818" t="str">
        <f>IF(Student_Data[[#This Row],[Marks]] &gt;= 90,"A+",IF(Student_Data[[#This Row],[Marks]]&gt;=80,"A",IF(Student_Data[[#This Row],[Marks]]&gt;=70,"B",IF(Student_Data[[#This Row],[Marks]]&gt;=60,"C","F"))))</f>
        <v>F</v>
      </c>
      <c r="K818" t="str">
        <f>IF(Student_Data[[#This Row],[Marks]]&gt;=35,"Pass","Fail")</f>
        <v>Fail</v>
      </c>
    </row>
    <row r="819" spans="1:11" x14ac:dyDescent="0.3">
      <c r="A819" t="s">
        <v>940</v>
      </c>
      <c r="B819" t="s">
        <v>116</v>
      </c>
      <c r="C819" t="s">
        <v>25</v>
      </c>
      <c r="D819">
        <v>9</v>
      </c>
      <c r="E819" t="s">
        <v>33</v>
      </c>
      <c r="F819" t="s">
        <v>18</v>
      </c>
      <c r="G819">
        <v>98</v>
      </c>
      <c r="H819">
        <v>92</v>
      </c>
      <c r="I819" t="s">
        <v>31</v>
      </c>
      <c r="J819" t="str">
        <f>IF(Student_Data[[#This Row],[Marks]] &gt;= 90,"A+",IF(Student_Data[[#This Row],[Marks]]&gt;=80,"A",IF(Student_Data[[#This Row],[Marks]]&gt;=70,"B",IF(Student_Data[[#This Row],[Marks]]&gt;=60,"C","F"))))</f>
        <v>A+</v>
      </c>
      <c r="K819" t="str">
        <f>IF(Student_Data[[#This Row],[Marks]]&gt;=35,"Pass","Fail")</f>
        <v>Pass</v>
      </c>
    </row>
    <row r="820" spans="1:11" x14ac:dyDescent="0.3">
      <c r="A820" t="s">
        <v>941</v>
      </c>
      <c r="B820" t="s">
        <v>82</v>
      </c>
      <c r="C820" t="s">
        <v>11</v>
      </c>
      <c r="D820">
        <v>6</v>
      </c>
      <c r="E820" t="s">
        <v>12</v>
      </c>
      <c r="F820" t="s">
        <v>18</v>
      </c>
      <c r="G820">
        <v>68</v>
      </c>
      <c r="H820">
        <v>90</v>
      </c>
      <c r="I820" t="s">
        <v>49</v>
      </c>
      <c r="J820" t="str">
        <f>IF(Student_Data[[#This Row],[Marks]] &gt;= 90,"A+",IF(Student_Data[[#This Row],[Marks]]&gt;=80,"A",IF(Student_Data[[#This Row],[Marks]]&gt;=70,"B",IF(Student_Data[[#This Row],[Marks]]&gt;=60,"C","F"))))</f>
        <v>C</v>
      </c>
      <c r="K820" t="str">
        <f>IF(Student_Data[[#This Row],[Marks]]&gt;=35,"Pass","Fail")</f>
        <v>Pass</v>
      </c>
    </row>
    <row r="821" spans="1:11" x14ac:dyDescent="0.3">
      <c r="A821" t="s">
        <v>942</v>
      </c>
      <c r="B821" t="s">
        <v>68</v>
      </c>
      <c r="C821" t="s">
        <v>11</v>
      </c>
      <c r="D821">
        <v>8</v>
      </c>
      <c r="E821" t="s">
        <v>33</v>
      </c>
      <c r="F821" t="s">
        <v>34</v>
      </c>
      <c r="G821">
        <v>81</v>
      </c>
      <c r="H821">
        <v>83</v>
      </c>
      <c r="I821" t="s">
        <v>19</v>
      </c>
      <c r="J821" t="str">
        <f>IF(Student_Data[[#This Row],[Marks]] &gt;= 90,"A+",IF(Student_Data[[#This Row],[Marks]]&gt;=80,"A",IF(Student_Data[[#This Row],[Marks]]&gt;=70,"B",IF(Student_Data[[#This Row],[Marks]]&gt;=60,"C","F"))))</f>
        <v>A</v>
      </c>
      <c r="K821" t="str">
        <f>IF(Student_Data[[#This Row],[Marks]]&gt;=35,"Pass","Fail")</f>
        <v>Pass</v>
      </c>
    </row>
    <row r="822" spans="1:11" x14ac:dyDescent="0.3">
      <c r="A822" t="s">
        <v>943</v>
      </c>
      <c r="B822" t="s">
        <v>30</v>
      </c>
      <c r="C822" t="s">
        <v>25</v>
      </c>
      <c r="D822">
        <v>12</v>
      </c>
      <c r="E822" t="s">
        <v>12</v>
      </c>
      <c r="F822" t="s">
        <v>18</v>
      </c>
      <c r="G822">
        <v>80</v>
      </c>
      <c r="H822">
        <v>82</v>
      </c>
      <c r="I822" t="s">
        <v>14</v>
      </c>
      <c r="J822" t="str">
        <f>IF(Student_Data[[#This Row],[Marks]] &gt;= 90,"A+",IF(Student_Data[[#This Row],[Marks]]&gt;=80,"A",IF(Student_Data[[#This Row],[Marks]]&gt;=70,"B",IF(Student_Data[[#This Row],[Marks]]&gt;=60,"C","F"))))</f>
        <v>A</v>
      </c>
      <c r="K822" t="str">
        <f>IF(Student_Data[[#This Row],[Marks]]&gt;=35,"Pass","Fail")</f>
        <v>Pass</v>
      </c>
    </row>
    <row r="823" spans="1:11" x14ac:dyDescent="0.3">
      <c r="A823" t="s">
        <v>944</v>
      </c>
      <c r="B823" t="s">
        <v>57</v>
      </c>
      <c r="C823" t="s">
        <v>11</v>
      </c>
      <c r="D823">
        <v>7</v>
      </c>
      <c r="E823" t="s">
        <v>12</v>
      </c>
      <c r="F823" t="s">
        <v>43</v>
      </c>
      <c r="G823">
        <v>66</v>
      </c>
      <c r="H823">
        <v>81</v>
      </c>
      <c r="I823" t="s">
        <v>46</v>
      </c>
      <c r="J823" t="str">
        <f>IF(Student_Data[[#This Row],[Marks]] &gt;= 90,"A+",IF(Student_Data[[#This Row],[Marks]]&gt;=80,"A",IF(Student_Data[[#This Row],[Marks]]&gt;=70,"B",IF(Student_Data[[#This Row],[Marks]]&gt;=60,"C","F"))))</f>
        <v>C</v>
      </c>
      <c r="K823" t="str">
        <f>IF(Student_Data[[#This Row],[Marks]]&gt;=35,"Pass","Fail")</f>
        <v>Pass</v>
      </c>
    </row>
    <row r="824" spans="1:11" x14ac:dyDescent="0.3">
      <c r="A824" t="s">
        <v>945</v>
      </c>
      <c r="B824" t="s">
        <v>380</v>
      </c>
      <c r="C824" t="s">
        <v>11</v>
      </c>
      <c r="D824">
        <v>7</v>
      </c>
      <c r="E824" t="s">
        <v>12</v>
      </c>
      <c r="F824" t="s">
        <v>22</v>
      </c>
      <c r="G824">
        <v>93</v>
      </c>
      <c r="H824">
        <v>88</v>
      </c>
      <c r="I824" t="s">
        <v>46</v>
      </c>
      <c r="J824" t="str">
        <f>IF(Student_Data[[#This Row],[Marks]] &gt;= 90,"A+",IF(Student_Data[[#This Row],[Marks]]&gt;=80,"A",IF(Student_Data[[#This Row],[Marks]]&gt;=70,"B",IF(Student_Data[[#This Row],[Marks]]&gt;=60,"C","F"))))</f>
        <v>A+</v>
      </c>
      <c r="K824" t="str">
        <f>IF(Student_Data[[#This Row],[Marks]]&gt;=35,"Pass","Fail")</f>
        <v>Pass</v>
      </c>
    </row>
    <row r="825" spans="1:11" x14ac:dyDescent="0.3">
      <c r="A825" t="s">
        <v>946</v>
      </c>
      <c r="B825" t="s">
        <v>94</v>
      </c>
      <c r="C825" t="s">
        <v>25</v>
      </c>
      <c r="D825">
        <v>10</v>
      </c>
      <c r="E825" t="s">
        <v>33</v>
      </c>
      <c r="F825" t="s">
        <v>22</v>
      </c>
      <c r="G825">
        <v>49</v>
      </c>
      <c r="H825">
        <v>83</v>
      </c>
      <c r="I825" t="s">
        <v>35</v>
      </c>
      <c r="J825" t="str">
        <f>IF(Student_Data[[#This Row],[Marks]] &gt;= 90,"A+",IF(Student_Data[[#This Row],[Marks]]&gt;=80,"A",IF(Student_Data[[#This Row],[Marks]]&gt;=70,"B",IF(Student_Data[[#This Row],[Marks]]&gt;=60,"C","F"))))</f>
        <v>F</v>
      </c>
      <c r="K825" t="str">
        <f>IF(Student_Data[[#This Row],[Marks]]&gt;=35,"Pass","Fail")</f>
        <v>Pass</v>
      </c>
    </row>
    <row r="826" spans="1:11" x14ac:dyDescent="0.3">
      <c r="A826" t="s">
        <v>947</v>
      </c>
      <c r="B826" t="s">
        <v>80</v>
      </c>
      <c r="C826" t="s">
        <v>11</v>
      </c>
      <c r="D826">
        <v>9</v>
      </c>
      <c r="E826" t="s">
        <v>33</v>
      </c>
      <c r="F826" t="s">
        <v>22</v>
      </c>
      <c r="G826">
        <v>46</v>
      </c>
      <c r="H826">
        <v>99</v>
      </c>
      <c r="I826" t="s">
        <v>40</v>
      </c>
      <c r="J826" t="str">
        <f>IF(Student_Data[[#This Row],[Marks]] &gt;= 90,"A+",IF(Student_Data[[#This Row],[Marks]]&gt;=80,"A",IF(Student_Data[[#This Row],[Marks]]&gt;=70,"B",IF(Student_Data[[#This Row],[Marks]]&gt;=60,"C","F"))))</f>
        <v>F</v>
      </c>
      <c r="K826" t="str">
        <f>IF(Student_Data[[#This Row],[Marks]]&gt;=35,"Pass","Fail")</f>
        <v>Pass</v>
      </c>
    </row>
    <row r="827" spans="1:11" x14ac:dyDescent="0.3">
      <c r="A827" t="s">
        <v>948</v>
      </c>
      <c r="B827" t="s">
        <v>395</v>
      </c>
      <c r="C827" t="s">
        <v>25</v>
      </c>
      <c r="D827">
        <v>8</v>
      </c>
      <c r="E827" t="s">
        <v>12</v>
      </c>
      <c r="F827" t="s">
        <v>43</v>
      </c>
      <c r="G827">
        <v>42</v>
      </c>
      <c r="H827">
        <v>93</v>
      </c>
      <c r="I827" t="s">
        <v>49</v>
      </c>
      <c r="J827" t="str">
        <f>IF(Student_Data[[#This Row],[Marks]] &gt;= 90,"A+",IF(Student_Data[[#This Row],[Marks]]&gt;=80,"A",IF(Student_Data[[#This Row],[Marks]]&gt;=70,"B",IF(Student_Data[[#This Row],[Marks]]&gt;=60,"C","F"))))</f>
        <v>F</v>
      </c>
      <c r="K827" t="str">
        <f>IF(Student_Data[[#This Row],[Marks]]&gt;=35,"Pass","Fail")</f>
        <v>Pass</v>
      </c>
    </row>
    <row r="828" spans="1:11" x14ac:dyDescent="0.3">
      <c r="A828" t="s">
        <v>949</v>
      </c>
      <c r="B828" t="s">
        <v>268</v>
      </c>
      <c r="C828" t="s">
        <v>25</v>
      </c>
      <c r="D828">
        <v>6</v>
      </c>
      <c r="E828" t="s">
        <v>33</v>
      </c>
      <c r="F828" t="s">
        <v>18</v>
      </c>
      <c r="G828">
        <v>90</v>
      </c>
      <c r="H828">
        <v>100</v>
      </c>
      <c r="I828" t="s">
        <v>40</v>
      </c>
      <c r="J828" t="str">
        <f>IF(Student_Data[[#This Row],[Marks]] &gt;= 90,"A+",IF(Student_Data[[#This Row],[Marks]]&gt;=80,"A",IF(Student_Data[[#This Row],[Marks]]&gt;=70,"B",IF(Student_Data[[#This Row],[Marks]]&gt;=60,"C","F"))))</f>
        <v>A+</v>
      </c>
      <c r="K828" t="str">
        <f>IF(Student_Data[[#This Row],[Marks]]&gt;=35,"Pass","Fail")</f>
        <v>Pass</v>
      </c>
    </row>
    <row r="829" spans="1:11" x14ac:dyDescent="0.3">
      <c r="A829" t="s">
        <v>950</v>
      </c>
      <c r="B829" t="s">
        <v>45</v>
      </c>
      <c r="C829" t="s">
        <v>25</v>
      </c>
      <c r="D829">
        <v>9</v>
      </c>
      <c r="E829" t="s">
        <v>17</v>
      </c>
      <c r="F829" t="s">
        <v>18</v>
      </c>
      <c r="G829">
        <v>90</v>
      </c>
      <c r="H829">
        <v>94</v>
      </c>
      <c r="I829" t="s">
        <v>31</v>
      </c>
      <c r="J829" t="str">
        <f>IF(Student_Data[[#This Row],[Marks]] &gt;= 90,"A+",IF(Student_Data[[#This Row],[Marks]]&gt;=80,"A",IF(Student_Data[[#This Row],[Marks]]&gt;=70,"B",IF(Student_Data[[#This Row],[Marks]]&gt;=60,"C","F"))))</f>
        <v>A+</v>
      </c>
      <c r="K829" t="str">
        <f>IF(Student_Data[[#This Row],[Marks]]&gt;=35,"Pass","Fail")</f>
        <v>Pass</v>
      </c>
    </row>
    <row r="830" spans="1:11" x14ac:dyDescent="0.3">
      <c r="A830" t="s">
        <v>951</v>
      </c>
      <c r="B830" t="s">
        <v>39</v>
      </c>
      <c r="C830" t="s">
        <v>11</v>
      </c>
      <c r="D830">
        <v>12</v>
      </c>
      <c r="E830" t="s">
        <v>17</v>
      </c>
      <c r="F830" t="s">
        <v>26</v>
      </c>
      <c r="G830">
        <v>46</v>
      </c>
      <c r="H830">
        <v>83</v>
      </c>
      <c r="I830" t="s">
        <v>14</v>
      </c>
      <c r="J830" t="str">
        <f>IF(Student_Data[[#This Row],[Marks]] &gt;= 90,"A+",IF(Student_Data[[#This Row],[Marks]]&gt;=80,"A",IF(Student_Data[[#This Row],[Marks]]&gt;=70,"B",IF(Student_Data[[#This Row],[Marks]]&gt;=60,"C","F"))))</f>
        <v>F</v>
      </c>
      <c r="K830" t="str">
        <f>IF(Student_Data[[#This Row],[Marks]]&gt;=35,"Pass","Fail")</f>
        <v>Pass</v>
      </c>
    </row>
    <row r="831" spans="1:11" x14ac:dyDescent="0.3">
      <c r="A831" t="s">
        <v>952</v>
      </c>
      <c r="B831" t="s">
        <v>90</v>
      </c>
      <c r="C831" t="s">
        <v>11</v>
      </c>
      <c r="D831">
        <v>6</v>
      </c>
      <c r="E831" t="s">
        <v>17</v>
      </c>
      <c r="F831" t="s">
        <v>43</v>
      </c>
      <c r="G831">
        <v>88</v>
      </c>
      <c r="H831">
        <v>100</v>
      </c>
      <c r="I831" t="s">
        <v>19</v>
      </c>
      <c r="J831" t="str">
        <f>IF(Student_Data[[#This Row],[Marks]] &gt;= 90,"A+",IF(Student_Data[[#This Row],[Marks]]&gt;=80,"A",IF(Student_Data[[#This Row],[Marks]]&gt;=70,"B",IF(Student_Data[[#This Row],[Marks]]&gt;=60,"C","F"))))</f>
        <v>A</v>
      </c>
      <c r="K831" t="str">
        <f>IF(Student_Data[[#This Row],[Marks]]&gt;=35,"Pass","Fail")</f>
        <v>Pass</v>
      </c>
    </row>
    <row r="832" spans="1:11" x14ac:dyDescent="0.3">
      <c r="A832" t="s">
        <v>953</v>
      </c>
      <c r="B832" t="s">
        <v>242</v>
      </c>
      <c r="C832" t="s">
        <v>11</v>
      </c>
      <c r="D832">
        <v>10</v>
      </c>
      <c r="E832" t="s">
        <v>12</v>
      </c>
      <c r="F832" t="s">
        <v>13</v>
      </c>
      <c r="G832">
        <v>52</v>
      </c>
      <c r="H832">
        <v>89</v>
      </c>
      <c r="I832" t="s">
        <v>14</v>
      </c>
      <c r="J832" t="str">
        <f>IF(Student_Data[[#This Row],[Marks]] &gt;= 90,"A+",IF(Student_Data[[#This Row],[Marks]]&gt;=80,"A",IF(Student_Data[[#This Row],[Marks]]&gt;=70,"B",IF(Student_Data[[#This Row],[Marks]]&gt;=60,"C","F"))))</f>
        <v>F</v>
      </c>
      <c r="K832" t="str">
        <f>IF(Student_Data[[#This Row],[Marks]]&gt;=35,"Pass","Fail")</f>
        <v>Pass</v>
      </c>
    </row>
    <row r="833" spans="1:11" x14ac:dyDescent="0.3">
      <c r="A833" t="s">
        <v>954</v>
      </c>
      <c r="B833" t="s">
        <v>186</v>
      </c>
      <c r="C833" t="s">
        <v>11</v>
      </c>
      <c r="D833">
        <v>6</v>
      </c>
      <c r="E833" t="s">
        <v>12</v>
      </c>
      <c r="F833" t="s">
        <v>18</v>
      </c>
      <c r="G833">
        <v>100</v>
      </c>
      <c r="H833">
        <v>96</v>
      </c>
      <c r="I833" t="s">
        <v>46</v>
      </c>
      <c r="J833" t="str">
        <f>IF(Student_Data[[#This Row],[Marks]] &gt;= 90,"A+",IF(Student_Data[[#This Row],[Marks]]&gt;=80,"A",IF(Student_Data[[#This Row],[Marks]]&gt;=70,"B",IF(Student_Data[[#This Row],[Marks]]&gt;=60,"C","F"))))</f>
        <v>A+</v>
      </c>
      <c r="K833" t="str">
        <f>IF(Student_Data[[#This Row],[Marks]]&gt;=35,"Pass","Fail")</f>
        <v>Pass</v>
      </c>
    </row>
    <row r="834" spans="1:11" x14ac:dyDescent="0.3">
      <c r="A834" t="s">
        <v>955</v>
      </c>
      <c r="B834" t="s">
        <v>228</v>
      </c>
      <c r="C834" t="s">
        <v>25</v>
      </c>
      <c r="D834">
        <v>6</v>
      </c>
      <c r="E834" t="s">
        <v>17</v>
      </c>
      <c r="F834" t="s">
        <v>18</v>
      </c>
      <c r="G834">
        <v>50</v>
      </c>
      <c r="H834">
        <v>78</v>
      </c>
      <c r="I834" t="s">
        <v>46</v>
      </c>
      <c r="J834" t="str">
        <f>IF(Student_Data[[#This Row],[Marks]] &gt;= 90,"A+",IF(Student_Data[[#This Row],[Marks]]&gt;=80,"A",IF(Student_Data[[#This Row],[Marks]]&gt;=70,"B",IF(Student_Data[[#This Row],[Marks]]&gt;=60,"C","F"))))</f>
        <v>F</v>
      </c>
      <c r="K834" t="str">
        <f>IF(Student_Data[[#This Row],[Marks]]&gt;=35,"Pass","Fail")</f>
        <v>Pass</v>
      </c>
    </row>
    <row r="835" spans="1:11" x14ac:dyDescent="0.3">
      <c r="A835" t="s">
        <v>956</v>
      </c>
      <c r="B835" t="s">
        <v>232</v>
      </c>
      <c r="C835" t="s">
        <v>11</v>
      </c>
      <c r="D835">
        <v>10</v>
      </c>
      <c r="E835" t="s">
        <v>33</v>
      </c>
      <c r="F835" t="s">
        <v>34</v>
      </c>
      <c r="G835">
        <v>64</v>
      </c>
      <c r="H835">
        <v>86</v>
      </c>
      <c r="I835" t="s">
        <v>14</v>
      </c>
      <c r="J835" t="str">
        <f>IF(Student_Data[[#This Row],[Marks]] &gt;= 90,"A+",IF(Student_Data[[#This Row],[Marks]]&gt;=80,"A",IF(Student_Data[[#This Row],[Marks]]&gt;=70,"B",IF(Student_Data[[#This Row],[Marks]]&gt;=60,"C","F"))))</f>
        <v>C</v>
      </c>
      <c r="K835" t="str">
        <f>IF(Student_Data[[#This Row],[Marks]]&gt;=35,"Pass","Fail")</f>
        <v>Pass</v>
      </c>
    </row>
    <row r="836" spans="1:11" x14ac:dyDescent="0.3">
      <c r="A836" t="s">
        <v>957</v>
      </c>
      <c r="B836" t="s">
        <v>121</v>
      </c>
      <c r="C836" t="s">
        <v>25</v>
      </c>
      <c r="D836">
        <v>7</v>
      </c>
      <c r="E836" t="s">
        <v>17</v>
      </c>
      <c r="F836" t="s">
        <v>26</v>
      </c>
      <c r="G836">
        <v>97</v>
      </c>
      <c r="H836">
        <v>86</v>
      </c>
      <c r="I836" t="s">
        <v>19</v>
      </c>
      <c r="J836" t="str">
        <f>IF(Student_Data[[#This Row],[Marks]] &gt;= 90,"A+",IF(Student_Data[[#This Row],[Marks]]&gt;=80,"A",IF(Student_Data[[#This Row],[Marks]]&gt;=70,"B",IF(Student_Data[[#This Row],[Marks]]&gt;=60,"C","F"))))</f>
        <v>A+</v>
      </c>
      <c r="K836" t="str">
        <f>IF(Student_Data[[#This Row],[Marks]]&gt;=35,"Pass","Fail")</f>
        <v>Pass</v>
      </c>
    </row>
    <row r="837" spans="1:11" x14ac:dyDescent="0.3">
      <c r="A837" t="s">
        <v>958</v>
      </c>
      <c r="B837" t="s">
        <v>244</v>
      </c>
      <c r="C837" t="s">
        <v>25</v>
      </c>
      <c r="D837">
        <v>6</v>
      </c>
      <c r="E837" t="s">
        <v>33</v>
      </c>
      <c r="F837" t="s">
        <v>13</v>
      </c>
      <c r="G837">
        <v>53</v>
      </c>
      <c r="H837">
        <v>90</v>
      </c>
      <c r="I837" t="s">
        <v>35</v>
      </c>
      <c r="J837" t="str">
        <f>IF(Student_Data[[#This Row],[Marks]] &gt;= 90,"A+",IF(Student_Data[[#This Row],[Marks]]&gt;=80,"A",IF(Student_Data[[#This Row],[Marks]]&gt;=70,"B",IF(Student_Data[[#This Row],[Marks]]&gt;=60,"C","F"))))</f>
        <v>F</v>
      </c>
      <c r="K837" t="str">
        <f>IF(Student_Data[[#This Row],[Marks]]&gt;=35,"Pass","Fail")</f>
        <v>Pass</v>
      </c>
    </row>
    <row r="838" spans="1:11" x14ac:dyDescent="0.3">
      <c r="A838" t="s">
        <v>959</v>
      </c>
      <c r="B838" t="s">
        <v>182</v>
      </c>
      <c r="C838" t="s">
        <v>11</v>
      </c>
      <c r="D838">
        <v>6</v>
      </c>
      <c r="E838" t="s">
        <v>12</v>
      </c>
      <c r="F838" t="s">
        <v>13</v>
      </c>
      <c r="G838">
        <v>94</v>
      </c>
      <c r="H838">
        <v>81</v>
      </c>
      <c r="I838" t="s">
        <v>40</v>
      </c>
      <c r="J838" t="str">
        <f>IF(Student_Data[[#This Row],[Marks]] &gt;= 90,"A+",IF(Student_Data[[#This Row],[Marks]]&gt;=80,"A",IF(Student_Data[[#This Row],[Marks]]&gt;=70,"B",IF(Student_Data[[#This Row],[Marks]]&gt;=60,"C","F"))))</f>
        <v>A+</v>
      </c>
      <c r="K838" t="str">
        <f>IF(Student_Data[[#This Row],[Marks]]&gt;=35,"Pass","Fail")</f>
        <v>Pass</v>
      </c>
    </row>
    <row r="839" spans="1:11" x14ac:dyDescent="0.3">
      <c r="A839" t="s">
        <v>960</v>
      </c>
      <c r="B839" t="s">
        <v>77</v>
      </c>
      <c r="C839" t="s">
        <v>11</v>
      </c>
      <c r="D839">
        <v>6</v>
      </c>
      <c r="E839" t="s">
        <v>33</v>
      </c>
      <c r="F839" t="s">
        <v>13</v>
      </c>
      <c r="G839">
        <v>95</v>
      </c>
      <c r="H839">
        <v>66</v>
      </c>
      <c r="I839" t="s">
        <v>35</v>
      </c>
      <c r="J839" t="str">
        <f>IF(Student_Data[[#This Row],[Marks]] &gt;= 90,"A+",IF(Student_Data[[#This Row],[Marks]]&gt;=80,"A",IF(Student_Data[[#This Row],[Marks]]&gt;=70,"B",IF(Student_Data[[#This Row],[Marks]]&gt;=60,"C","F"))))</f>
        <v>A+</v>
      </c>
      <c r="K839" t="str">
        <f>IF(Student_Data[[#This Row],[Marks]]&gt;=35,"Pass","Fail")</f>
        <v>Pass</v>
      </c>
    </row>
    <row r="840" spans="1:11" x14ac:dyDescent="0.3">
      <c r="A840" t="s">
        <v>961</v>
      </c>
      <c r="B840" t="s">
        <v>132</v>
      </c>
      <c r="C840" t="s">
        <v>11</v>
      </c>
      <c r="D840">
        <v>7</v>
      </c>
      <c r="E840" t="s">
        <v>12</v>
      </c>
      <c r="F840" t="s">
        <v>18</v>
      </c>
      <c r="G840">
        <v>82</v>
      </c>
      <c r="H840">
        <v>73</v>
      </c>
      <c r="I840" t="s">
        <v>14</v>
      </c>
      <c r="J840" t="str">
        <f>IF(Student_Data[[#This Row],[Marks]] &gt;= 90,"A+",IF(Student_Data[[#This Row],[Marks]]&gt;=80,"A",IF(Student_Data[[#This Row],[Marks]]&gt;=70,"B",IF(Student_Data[[#This Row],[Marks]]&gt;=60,"C","F"))))</f>
        <v>A</v>
      </c>
      <c r="K840" t="str">
        <f>IF(Student_Data[[#This Row],[Marks]]&gt;=35,"Pass","Fail")</f>
        <v>Pass</v>
      </c>
    </row>
    <row r="841" spans="1:11" x14ac:dyDescent="0.3">
      <c r="A841" t="s">
        <v>962</v>
      </c>
      <c r="B841" t="s">
        <v>63</v>
      </c>
      <c r="C841" t="s">
        <v>25</v>
      </c>
      <c r="D841">
        <v>12</v>
      </c>
      <c r="E841" t="s">
        <v>33</v>
      </c>
      <c r="F841" t="s">
        <v>22</v>
      </c>
      <c r="G841">
        <v>54</v>
      </c>
      <c r="H841">
        <v>93</v>
      </c>
      <c r="I841" t="s">
        <v>40</v>
      </c>
      <c r="J841" t="str">
        <f>IF(Student_Data[[#This Row],[Marks]] &gt;= 90,"A+",IF(Student_Data[[#This Row],[Marks]]&gt;=80,"A",IF(Student_Data[[#This Row],[Marks]]&gt;=70,"B",IF(Student_Data[[#This Row],[Marks]]&gt;=60,"C","F"))))</f>
        <v>F</v>
      </c>
      <c r="K841" t="str">
        <f>IF(Student_Data[[#This Row],[Marks]]&gt;=35,"Pass","Fail")</f>
        <v>Pass</v>
      </c>
    </row>
    <row r="842" spans="1:11" x14ac:dyDescent="0.3">
      <c r="A842" t="s">
        <v>963</v>
      </c>
      <c r="B842" t="s">
        <v>123</v>
      </c>
      <c r="C842" t="s">
        <v>25</v>
      </c>
      <c r="D842">
        <v>8</v>
      </c>
      <c r="E842" t="s">
        <v>12</v>
      </c>
      <c r="F842" t="s">
        <v>26</v>
      </c>
      <c r="G842">
        <v>78</v>
      </c>
      <c r="H842">
        <v>75</v>
      </c>
      <c r="I842" t="s">
        <v>35</v>
      </c>
      <c r="J842" t="str">
        <f>IF(Student_Data[[#This Row],[Marks]] &gt;= 90,"A+",IF(Student_Data[[#This Row],[Marks]]&gt;=80,"A",IF(Student_Data[[#This Row],[Marks]]&gt;=70,"B",IF(Student_Data[[#This Row],[Marks]]&gt;=60,"C","F"))))</f>
        <v>B</v>
      </c>
      <c r="K842" t="str">
        <f>IF(Student_Data[[#This Row],[Marks]]&gt;=35,"Pass","Fail")</f>
        <v>Pass</v>
      </c>
    </row>
    <row r="843" spans="1:11" x14ac:dyDescent="0.3">
      <c r="A843" t="s">
        <v>964</v>
      </c>
      <c r="B843" t="s">
        <v>39</v>
      </c>
      <c r="C843" t="s">
        <v>11</v>
      </c>
      <c r="D843">
        <v>10</v>
      </c>
      <c r="E843" t="s">
        <v>33</v>
      </c>
      <c r="F843" t="s">
        <v>43</v>
      </c>
      <c r="G843">
        <v>65</v>
      </c>
      <c r="H843">
        <v>93</v>
      </c>
      <c r="I843" t="s">
        <v>35</v>
      </c>
      <c r="J843" t="str">
        <f>IF(Student_Data[[#This Row],[Marks]] &gt;= 90,"A+",IF(Student_Data[[#This Row],[Marks]]&gt;=80,"A",IF(Student_Data[[#This Row],[Marks]]&gt;=70,"B",IF(Student_Data[[#This Row],[Marks]]&gt;=60,"C","F"))))</f>
        <v>C</v>
      </c>
      <c r="K843" t="str">
        <f>IF(Student_Data[[#This Row],[Marks]]&gt;=35,"Pass","Fail")</f>
        <v>Pass</v>
      </c>
    </row>
    <row r="844" spans="1:11" x14ac:dyDescent="0.3">
      <c r="A844" t="s">
        <v>965</v>
      </c>
      <c r="B844" t="s">
        <v>182</v>
      </c>
      <c r="C844" t="s">
        <v>11</v>
      </c>
      <c r="D844">
        <v>6</v>
      </c>
      <c r="E844" t="s">
        <v>12</v>
      </c>
      <c r="F844" t="s">
        <v>22</v>
      </c>
      <c r="G844">
        <v>58</v>
      </c>
      <c r="H844">
        <v>96</v>
      </c>
      <c r="I844" t="s">
        <v>46</v>
      </c>
      <c r="J844" t="str">
        <f>IF(Student_Data[[#This Row],[Marks]] &gt;= 90,"A+",IF(Student_Data[[#This Row],[Marks]]&gt;=80,"A",IF(Student_Data[[#This Row],[Marks]]&gt;=70,"B",IF(Student_Data[[#This Row],[Marks]]&gt;=60,"C","F"))))</f>
        <v>F</v>
      </c>
      <c r="K844" t="str">
        <f>IF(Student_Data[[#This Row],[Marks]]&gt;=35,"Pass","Fail")</f>
        <v>Pass</v>
      </c>
    </row>
    <row r="845" spans="1:11" x14ac:dyDescent="0.3">
      <c r="A845" t="s">
        <v>966</v>
      </c>
      <c r="B845" t="s">
        <v>39</v>
      </c>
      <c r="C845" t="s">
        <v>25</v>
      </c>
      <c r="D845">
        <v>12</v>
      </c>
      <c r="E845" t="s">
        <v>17</v>
      </c>
      <c r="F845" t="s">
        <v>13</v>
      </c>
      <c r="G845">
        <v>52</v>
      </c>
      <c r="H845">
        <v>68</v>
      </c>
      <c r="I845" t="s">
        <v>31</v>
      </c>
      <c r="J845" t="str">
        <f>IF(Student_Data[[#This Row],[Marks]] &gt;= 90,"A+",IF(Student_Data[[#This Row],[Marks]]&gt;=80,"A",IF(Student_Data[[#This Row],[Marks]]&gt;=70,"B",IF(Student_Data[[#This Row],[Marks]]&gt;=60,"C","F"))))</f>
        <v>F</v>
      </c>
      <c r="K845" t="str">
        <f>IF(Student_Data[[#This Row],[Marks]]&gt;=35,"Pass","Fail")</f>
        <v>Pass</v>
      </c>
    </row>
    <row r="846" spans="1:11" x14ac:dyDescent="0.3">
      <c r="A846" t="s">
        <v>967</v>
      </c>
      <c r="B846" t="s">
        <v>224</v>
      </c>
      <c r="C846" t="s">
        <v>11</v>
      </c>
      <c r="D846">
        <v>10</v>
      </c>
      <c r="E846" t="s">
        <v>12</v>
      </c>
      <c r="F846" t="s">
        <v>13</v>
      </c>
      <c r="G846">
        <v>63</v>
      </c>
      <c r="H846">
        <v>85</v>
      </c>
      <c r="I846" t="s">
        <v>49</v>
      </c>
      <c r="J846" t="str">
        <f>IF(Student_Data[[#This Row],[Marks]] &gt;= 90,"A+",IF(Student_Data[[#This Row],[Marks]]&gt;=80,"A",IF(Student_Data[[#This Row],[Marks]]&gt;=70,"B",IF(Student_Data[[#This Row],[Marks]]&gt;=60,"C","F"))))</f>
        <v>C</v>
      </c>
      <c r="K846" t="str">
        <f>IF(Student_Data[[#This Row],[Marks]]&gt;=35,"Pass","Fail")</f>
        <v>Pass</v>
      </c>
    </row>
    <row r="847" spans="1:11" x14ac:dyDescent="0.3">
      <c r="A847" t="s">
        <v>968</v>
      </c>
      <c r="B847" t="s">
        <v>135</v>
      </c>
      <c r="C847" t="s">
        <v>11</v>
      </c>
      <c r="D847">
        <v>12</v>
      </c>
      <c r="E847" t="s">
        <v>17</v>
      </c>
      <c r="F847" t="s">
        <v>43</v>
      </c>
      <c r="G847">
        <v>74</v>
      </c>
      <c r="H847">
        <v>87</v>
      </c>
      <c r="I847" t="s">
        <v>49</v>
      </c>
      <c r="J847" t="str">
        <f>IF(Student_Data[[#This Row],[Marks]] &gt;= 90,"A+",IF(Student_Data[[#This Row],[Marks]]&gt;=80,"A",IF(Student_Data[[#This Row],[Marks]]&gt;=70,"B",IF(Student_Data[[#This Row],[Marks]]&gt;=60,"C","F"))))</f>
        <v>B</v>
      </c>
      <c r="K847" t="str">
        <f>IF(Student_Data[[#This Row],[Marks]]&gt;=35,"Pass","Fail")</f>
        <v>Pass</v>
      </c>
    </row>
    <row r="848" spans="1:11" x14ac:dyDescent="0.3">
      <c r="A848" t="s">
        <v>969</v>
      </c>
      <c r="B848" t="s">
        <v>112</v>
      </c>
      <c r="C848" t="s">
        <v>11</v>
      </c>
      <c r="D848">
        <v>7</v>
      </c>
      <c r="E848" t="s">
        <v>33</v>
      </c>
      <c r="F848" t="s">
        <v>43</v>
      </c>
      <c r="G848">
        <v>61</v>
      </c>
      <c r="H848">
        <v>84</v>
      </c>
      <c r="I848" t="s">
        <v>35</v>
      </c>
      <c r="J848" t="str">
        <f>IF(Student_Data[[#This Row],[Marks]] &gt;= 90,"A+",IF(Student_Data[[#This Row],[Marks]]&gt;=80,"A",IF(Student_Data[[#This Row],[Marks]]&gt;=70,"B",IF(Student_Data[[#This Row],[Marks]]&gt;=60,"C","F"))))</f>
        <v>C</v>
      </c>
      <c r="K848" t="str">
        <f>IF(Student_Data[[#This Row],[Marks]]&gt;=35,"Pass","Fail")</f>
        <v>Pass</v>
      </c>
    </row>
    <row r="849" spans="1:11" x14ac:dyDescent="0.3">
      <c r="A849" t="s">
        <v>970</v>
      </c>
      <c r="B849" t="s">
        <v>112</v>
      </c>
      <c r="C849" t="s">
        <v>11</v>
      </c>
      <c r="D849">
        <v>9</v>
      </c>
      <c r="E849" t="s">
        <v>12</v>
      </c>
      <c r="F849" t="s">
        <v>34</v>
      </c>
      <c r="G849">
        <v>74</v>
      </c>
      <c r="H849">
        <v>88</v>
      </c>
      <c r="I849" t="s">
        <v>49</v>
      </c>
      <c r="J849" t="str">
        <f>IF(Student_Data[[#This Row],[Marks]] &gt;= 90,"A+",IF(Student_Data[[#This Row],[Marks]]&gt;=80,"A",IF(Student_Data[[#This Row],[Marks]]&gt;=70,"B",IF(Student_Data[[#This Row],[Marks]]&gt;=60,"C","F"))))</f>
        <v>B</v>
      </c>
      <c r="K849" t="str">
        <f>IF(Student_Data[[#This Row],[Marks]]&gt;=35,"Pass","Fail")</f>
        <v>Pass</v>
      </c>
    </row>
    <row r="850" spans="1:11" x14ac:dyDescent="0.3">
      <c r="A850" t="s">
        <v>971</v>
      </c>
      <c r="B850" t="s">
        <v>107</v>
      </c>
      <c r="C850" t="s">
        <v>11</v>
      </c>
      <c r="D850">
        <v>10</v>
      </c>
      <c r="E850" t="s">
        <v>17</v>
      </c>
      <c r="F850" t="s">
        <v>18</v>
      </c>
      <c r="G850">
        <v>95</v>
      </c>
      <c r="H850">
        <v>67</v>
      </c>
      <c r="I850" t="s">
        <v>40</v>
      </c>
      <c r="J850" t="str">
        <f>IF(Student_Data[[#This Row],[Marks]] &gt;= 90,"A+",IF(Student_Data[[#This Row],[Marks]]&gt;=80,"A",IF(Student_Data[[#This Row],[Marks]]&gt;=70,"B",IF(Student_Data[[#This Row],[Marks]]&gt;=60,"C","F"))))</f>
        <v>A+</v>
      </c>
      <c r="K850" t="str">
        <f>IF(Student_Data[[#This Row],[Marks]]&gt;=35,"Pass","Fail")</f>
        <v>Pass</v>
      </c>
    </row>
    <row r="851" spans="1:11" x14ac:dyDescent="0.3">
      <c r="A851" t="s">
        <v>972</v>
      </c>
      <c r="B851" t="s">
        <v>135</v>
      </c>
      <c r="C851" t="s">
        <v>11</v>
      </c>
      <c r="D851">
        <v>11</v>
      </c>
      <c r="E851" t="s">
        <v>12</v>
      </c>
      <c r="F851" t="s">
        <v>22</v>
      </c>
      <c r="G851">
        <v>59</v>
      </c>
      <c r="H851">
        <v>76</v>
      </c>
      <c r="I851" t="s">
        <v>46</v>
      </c>
      <c r="J851" t="str">
        <f>IF(Student_Data[[#This Row],[Marks]] &gt;= 90,"A+",IF(Student_Data[[#This Row],[Marks]]&gt;=80,"A",IF(Student_Data[[#This Row],[Marks]]&gt;=70,"B",IF(Student_Data[[#This Row],[Marks]]&gt;=60,"C","F"))))</f>
        <v>F</v>
      </c>
      <c r="K851" t="str">
        <f>IF(Student_Data[[#This Row],[Marks]]&gt;=35,"Pass","Fail")</f>
        <v>Pass</v>
      </c>
    </row>
    <row r="852" spans="1:11" x14ac:dyDescent="0.3">
      <c r="A852" t="s">
        <v>973</v>
      </c>
      <c r="B852" t="s">
        <v>80</v>
      </c>
      <c r="C852" t="s">
        <v>25</v>
      </c>
      <c r="D852">
        <v>7</v>
      </c>
      <c r="E852" t="s">
        <v>33</v>
      </c>
      <c r="F852" t="s">
        <v>26</v>
      </c>
      <c r="G852">
        <v>40</v>
      </c>
      <c r="H852">
        <v>65</v>
      </c>
      <c r="I852" t="s">
        <v>46</v>
      </c>
      <c r="J852" t="str">
        <f>IF(Student_Data[[#This Row],[Marks]] &gt;= 90,"A+",IF(Student_Data[[#This Row],[Marks]]&gt;=80,"A",IF(Student_Data[[#This Row],[Marks]]&gt;=70,"B",IF(Student_Data[[#This Row],[Marks]]&gt;=60,"C","F"))))</f>
        <v>F</v>
      </c>
      <c r="K852" t="str">
        <f>IF(Student_Data[[#This Row],[Marks]]&gt;=35,"Pass","Fail")</f>
        <v>Pass</v>
      </c>
    </row>
    <row r="853" spans="1:11" x14ac:dyDescent="0.3">
      <c r="A853" t="s">
        <v>974</v>
      </c>
      <c r="B853" t="s">
        <v>432</v>
      </c>
      <c r="C853" t="s">
        <v>11</v>
      </c>
      <c r="D853">
        <v>12</v>
      </c>
      <c r="E853" t="s">
        <v>12</v>
      </c>
      <c r="F853" t="s">
        <v>26</v>
      </c>
      <c r="G853">
        <v>35</v>
      </c>
      <c r="H853">
        <v>73</v>
      </c>
      <c r="I853" t="s">
        <v>19</v>
      </c>
      <c r="J853" t="str">
        <f>IF(Student_Data[[#This Row],[Marks]] &gt;= 90,"A+",IF(Student_Data[[#This Row],[Marks]]&gt;=80,"A",IF(Student_Data[[#This Row],[Marks]]&gt;=70,"B",IF(Student_Data[[#This Row],[Marks]]&gt;=60,"C","F"))))</f>
        <v>F</v>
      </c>
      <c r="K853" t="str">
        <f>IF(Student_Data[[#This Row],[Marks]]&gt;=35,"Pass","Fail")</f>
        <v>Pass</v>
      </c>
    </row>
    <row r="854" spans="1:11" x14ac:dyDescent="0.3">
      <c r="A854" t="s">
        <v>975</v>
      </c>
      <c r="B854" t="s">
        <v>143</v>
      </c>
      <c r="C854" t="s">
        <v>11</v>
      </c>
      <c r="D854">
        <v>11</v>
      </c>
      <c r="E854" t="s">
        <v>17</v>
      </c>
      <c r="F854" t="s">
        <v>22</v>
      </c>
      <c r="G854">
        <v>96</v>
      </c>
      <c r="H854">
        <v>82</v>
      </c>
      <c r="I854" t="s">
        <v>46</v>
      </c>
      <c r="J854" t="str">
        <f>IF(Student_Data[[#This Row],[Marks]] &gt;= 90,"A+",IF(Student_Data[[#This Row],[Marks]]&gt;=80,"A",IF(Student_Data[[#This Row],[Marks]]&gt;=70,"B",IF(Student_Data[[#This Row],[Marks]]&gt;=60,"C","F"))))</f>
        <v>A+</v>
      </c>
      <c r="K854" t="str">
        <f>IF(Student_Data[[#This Row],[Marks]]&gt;=35,"Pass","Fail")</f>
        <v>Pass</v>
      </c>
    </row>
    <row r="855" spans="1:11" x14ac:dyDescent="0.3">
      <c r="A855" t="s">
        <v>976</v>
      </c>
      <c r="B855" t="s">
        <v>380</v>
      </c>
      <c r="C855" t="s">
        <v>25</v>
      </c>
      <c r="D855">
        <v>12</v>
      </c>
      <c r="E855" t="s">
        <v>12</v>
      </c>
      <c r="F855" t="s">
        <v>13</v>
      </c>
      <c r="G855">
        <v>72</v>
      </c>
      <c r="H855">
        <v>97</v>
      </c>
      <c r="I855" t="s">
        <v>35</v>
      </c>
      <c r="J855" t="str">
        <f>IF(Student_Data[[#This Row],[Marks]] &gt;= 90,"A+",IF(Student_Data[[#This Row],[Marks]]&gt;=80,"A",IF(Student_Data[[#This Row],[Marks]]&gt;=70,"B",IF(Student_Data[[#This Row],[Marks]]&gt;=60,"C","F"))))</f>
        <v>B</v>
      </c>
      <c r="K855" t="str">
        <f>IF(Student_Data[[#This Row],[Marks]]&gt;=35,"Pass","Fail")</f>
        <v>Pass</v>
      </c>
    </row>
    <row r="856" spans="1:11" x14ac:dyDescent="0.3">
      <c r="A856" t="s">
        <v>977</v>
      </c>
      <c r="B856" t="s">
        <v>104</v>
      </c>
      <c r="C856" t="s">
        <v>25</v>
      </c>
      <c r="D856">
        <v>9</v>
      </c>
      <c r="E856" t="s">
        <v>12</v>
      </c>
      <c r="F856" t="s">
        <v>43</v>
      </c>
      <c r="G856">
        <v>52</v>
      </c>
      <c r="H856">
        <v>77</v>
      </c>
      <c r="I856" t="s">
        <v>19</v>
      </c>
      <c r="J856" t="str">
        <f>IF(Student_Data[[#This Row],[Marks]] &gt;= 90,"A+",IF(Student_Data[[#This Row],[Marks]]&gt;=80,"A",IF(Student_Data[[#This Row],[Marks]]&gt;=70,"B",IF(Student_Data[[#This Row],[Marks]]&gt;=60,"C","F"))))</f>
        <v>F</v>
      </c>
      <c r="K856" t="str">
        <f>IF(Student_Data[[#This Row],[Marks]]&gt;=35,"Pass","Fail")</f>
        <v>Pass</v>
      </c>
    </row>
    <row r="857" spans="1:11" x14ac:dyDescent="0.3">
      <c r="A857" t="s">
        <v>978</v>
      </c>
      <c r="B857" t="s">
        <v>21</v>
      </c>
      <c r="C857" t="s">
        <v>11</v>
      </c>
      <c r="D857">
        <v>11</v>
      </c>
      <c r="E857" t="s">
        <v>17</v>
      </c>
      <c r="F857" t="s">
        <v>43</v>
      </c>
      <c r="G857">
        <v>41</v>
      </c>
      <c r="H857">
        <v>74</v>
      </c>
      <c r="I857" t="s">
        <v>14</v>
      </c>
      <c r="J857" t="str">
        <f>IF(Student_Data[[#This Row],[Marks]] &gt;= 90,"A+",IF(Student_Data[[#This Row],[Marks]]&gt;=80,"A",IF(Student_Data[[#This Row],[Marks]]&gt;=70,"B",IF(Student_Data[[#This Row],[Marks]]&gt;=60,"C","F"))))</f>
        <v>F</v>
      </c>
      <c r="K857" t="str">
        <f>IF(Student_Data[[#This Row],[Marks]]&gt;=35,"Pass","Fail")</f>
        <v>Pass</v>
      </c>
    </row>
    <row r="858" spans="1:11" x14ac:dyDescent="0.3">
      <c r="A858" t="s">
        <v>979</v>
      </c>
      <c r="B858" t="s">
        <v>45</v>
      </c>
      <c r="C858" t="s">
        <v>25</v>
      </c>
      <c r="D858">
        <v>6</v>
      </c>
      <c r="E858" t="s">
        <v>12</v>
      </c>
      <c r="F858" t="s">
        <v>22</v>
      </c>
      <c r="G858">
        <v>58</v>
      </c>
      <c r="H858">
        <v>68</v>
      </c>
      <c r="I858" t="s">
        <v>46</v>
      </c>
      <c r="J858" t="str">
        <f>IF(Student_Data[[#This Row],[Marks]] &gt;= 90,"A+",IF(Student_Data[[#This Row],[Marks]]&gt;=80,"A",IF(Student_Data[[#This Row],[Marks]]&gt;=70,"B",IF(Student_Data[[#This Row],[Marks]]&gt;=60,"C","F"))))</f>
        <v>F</v>
      </c>
      <c r="K858" t="str">
        <f>IF(Student_Data[[#This Row],[Marks]]&gt;=35,"Pass","Fail")</f>
        <v>Pass</v>
      </c>
    </row>
    <row r="859" spans="1:11" x14ac:dyDescent="0.3">
      <c r="A859" t="s">
        <v>980</v>
      </c>
      <c r="B859" t="s">
        <v>204</v>
      </c>
      <c r="C859" t="s">
        <v>11</v>
      </c>
      <c r="D859">
        <v>8</v>
      </c>
      <c r="E859" t="s">
        <v>12</v>
      </c>
      <c r="F859" t="s">
        <v>13</v>
      </c>
      <c r="G859">
        <v>84</v>
      </c>
      <c r="H859">
        <v>88</v>
      </c>
      <c r="I859" t="s">
        <v>19</v>
      </c>
      <c r="J859" t="str">
        <f>IF(Student_Data[[#This Row],[Marks]] &gt;= 90,"A+",IF(Student_Data[[#This Row],[Marks]]&gt;=80,"A",IF(Student_Data[[#This Row],[Marks]]&gt;=70,"B",IF(Student_Data[[#This Row],[Marks]]&gt;=60,"C","F"))))</f>
        <v>A</v>
      </c>
      <c r="K859" t="str">
        <f>IF(Student_Data[[#This Row],[Marks]]&gt;=35,"Pass","Fail")</f>
        <v>Pass</v>
      </c>
    </row>
    <row r="860" spans="1:11" x14ac:dyDescent="0.3">
      <c r="A860" t="s">
        <v>981</v>
      </c>
      <c r="B860" t="s">
        <v>226</v>
      </c>
      <c r="C860" t="s">
        <v>11</v>
      </c>
      <c r="D860">
        <v>9</v>
      </c>
      <c r="E860" t="s">
        <v>17</v>
      </c>
      <c r="F860" t="s">
        <v>34</v>
      </c>
      <c r="G860">
        <v>53</v>
      </c>
      <c r="H860">
        <v>90</v>
      </c>
      <c r="I860" t="s">
        <v>40</v>
      </c>
      <c r="J860" t="str">
        <f>IF(Student_Data[[#This Row],[Marks]] &gt;= 90,"A+",IF(Student_Data[[#This Row],[Marks]]&gt;=80,"A",IF(Student_Data[[#This Row],[Marks]]&gt;=70,"B",IF(Student_Data[[#This Row],[Marks]]&gt;=60,"C","F"))))</f>
        <v>F</v>
      </c>
      <c r="K860" t="str">
        <f>IF(Student_Data[[#This Row],[Marks]]&gt;=35,"Pass","Fail")</f>
        <v>Pass</v>
      </c>
    </row>
    <row r="861" spans="1:11" x14ac:dyDescent="0.3">
      <c r="A861" t="s">
        <v>982</v>
      </c>
      <c r="B861" t="s">
        <v>264</v>
      </c>
      <c r="C861" t="s">
        <v>11</v>
      </c>
      <c r="D861">
        <v>8</v>
      </c>
      <c r="E861" t="s">
        <v>33</v>
      </c>
      <c r="F861" t="s">
        <v>34</v>
      </c>
      <c r="G861">
        <v>89</v>
      </c>
      <c r="H861">
        <v>86</v>
      </c>
      <c r="I861" t="s">
        <v>35</v>
      </c>
      <c r="J861" t="str">
        <f>IF(Student_Data[[#This Row],[Marks]] &gt;= 90,"A+",IF(Student_Data[[#This Row],[Marks]]&gt;=80,"A",IF(Student_Data[[#This Row],[Marks]]&gt;=70,"B",IF(Student_Data[[#This Row],[Marks]]&gt;=60,"C","F"))))</f>
        <v>A</v>
      </c>
      <c r="K861" t="str">
        <f>IF(Student_Data[[#This Row],[Marks]]&gt;=35,"Pass","Fail")</f>
        <v>Pass</v>
      </c>
    </row>
    <row r="862" spans="1:11" x14ac:dyDescent="0.3">
      <c r="A862" t="s">
        <v>983</v>
      </c>
      <c r="B862" t="s">
        <v>109</v>
      </c>
      <c r="C862" t="s">
        <v>25</v>
      </c>
      <c r="D862">
        <v>10</v>
      </c>
      <c r="E862" t="s">
        <v>33</v>
      </c>
      <c r="F862" t="s">
        <v>26</v>
      </c>
      <c r="G862">
        <v>53</v>
      </c>
      <c r="H862">
        <v>75</v>
      </c>
      <c r="I862" t="s">
        <v>35</v>
      </c>
      <c r="J862" t="str">
        <f>IF(Student_Data[[#This Row],[Marks]] &gt;= 90,"A+",IF(Student_Data[[#This Row],[Marks]]&gt;=80,"A",IF(Student_Data[[#This Row],[Marks]]&gt;=70,"B",IF(Student_Data[[#This Row],[Marks]]&gt;=60,"C","F"))))</f>
        <v>F</v>
      </c>
      <c r="K862" t="str">
        <f>IF(Student_Data[[#This Row],[Marks]]&gt;=35,"Pass","Fail")</f>
        <v>Pass</v>
      </c>
    </row>
    <row r="863" spans="1:11" x14ac:dyDescent="0.3">
      <c r="A863" t="s">
        <v>984</v>
      </c>
      <c r="B863" t="s">
        <v>129</v>
      </c>
      <c r="C863" t="s">
        <v>25</v>
      </c>
      <c r="D863">
        <v>9</v>
      </c>
      <c r="E863" t="s">
        <v>17</v>
      </c>
      <c r="F863" t="s">
        <v>13</v>
      </c>
      <c r="G863">
        <v>68</v>
      </c>
      <c r="H863">
        <v>88</v>
      </c>
      <c r="I863" t="s">
        <v>46</v>
      </c>
      <c r="J863" t="str">
        <f>IF(Student_Data[[#This Row],[Marks]] &gt;= 90,"A+",IF(Student_Data[[#This Row],[Marks]]&gt;=80,"A",IF(Student_Data[[#This Row],[Marks]]&gt;=70,"B",IF(Student_Data[[#This Row],[Marks]]&gt;=60,"C","F"))))</f>
        <v>C</v>
      </c>
      <c r="K863" t="str">
        <f>IF(Student_Data[[#This Row],[Marks]]&gt;=35,"Pass","Fail")</f>
        <v>Pass</v>
      </c>
    </row>
    <row r="864" spans="1:11" x14ac:dyDescent="0.3">
      <c r="A864" t="s">
        <v>985</v>
      </c>
      <c r="B864" t="s">
        <v>195</v>
      </c>
      <c r="C864" t="s">
        <v>11</v>
      </c>
      <c r="D864">
        <v>8</v>
      </c>
      <c r="E864" t="s">
        <v>17</v>
      </c>
      <c r="F864" t="s">
        <v>22</v>
      </c>
      <c r="G864">
        <v>37</v>
      </c>
      <c r="H864">
        <v>87</v>
      </c>
      <c r="I864" t="s">
        <v>31</v>
      </c>
      <c r="J864" t="str">
        <f>IF(Student_Data[[#This Row],[Marks]] &gt;= 90,"A+",IF(Student_Data[[#This Row],[Marks]]&gt;=80,"A",IF(Student_Data[[#This Row],[Marks]]&gt;=70,"B",IF(Student_Data[[#This Row],[Marks]]&gt;=60,"C","F"))))</f>
        <v>F</v>
      </c>
      <c r="K864" t="str">
        <f>IF(Student_Data[[#This Row],[Marks]]&gt;=35,"Pass","Fail")</f>
        <v>Pass</v>
      </c>
    </row>
    <row r="865" spans="1:11" x14ac:dyDescent="0.3">
      <c r="A865" t="s">
        <v>986</v>
      </c>
      <c r="B865" t="s">
        <v>88</v>
      </c>
      <c r="C865" t="s">
        <v>25</v>
      </c>
      <c r="D865">
        <v>6</v>
      </c>
      <c r="E865" t="s">
        <v>33</v>
      </c>
      <c r="F865" t="s">
        <v>43</v>
      </c>
      <c r="G865">
        <v>80</v>
      </c>
      <c r="H865">
        <v>82</v>
      </c>
      <c r="I865" t="s">
        <v>49</v>
      </c>
      <c r="J865" t="str">
        <f>IF(Student_Data[[#This Row],[Marks]] &gt;= 90,"A+",IF(Student_Data[[#This Row],[Marks]]&gt;=80,"A",IF(Student_Data[[#This Row],[Marks]]&gt;=70,"B",IF(Student_Data[[#This Row],[Marks]]&gt;=60,"C","F"))))</f>
        <v>A</v>
      </c>
      <c r="K865" t="str">
        <f>IF(Student_Data[[#This Row],[Marks]]&gt;=35,"Pass","Fail")</f>
        <v>Pass</v>
      </c>
    </row>
    <row r="866" spans="1:11" x14ac:dyDescent="0.3">
      <c r="A866" t="s">
        <v>987</v>
      </c>
      <c r="B866" t="s">
        <v>147</v>
      </c>
      <c r="C866" t="s">
        <v>25</v>
      </c>
      <c r="D866">
        <v>6</v>
      </c>
      <c r="E866" t="s">
        <v>33</v>
      </c>
      <c r="F866" t="s">
        <v>26</v>
      </c>
      <c r="G866">
        <v>71</v>
      </c>
      <c r="H866">
        <v>93</v>
      </c>
      <c r="I866" t="s">
        <v>14</v>
      </c>
      <c r="J866" t="str">
        <f>IF(Student_Data[[#This Row],[Marks]] &gt;= 90,"A+",IF(Student_Data[[#This Row],[Marks]]&gt;=80,"A",IF(Student_Data[[#This Row],[Marks]]&gt;=70,"B",IF(Student_Data[[#This Row],[Marks]]&gt;=60,"C","F"))))</f>
        <v>B</v>
      </c>
      <c r="K866" t="str">
        <f>IF(Student_Data[[#This Row],[Marks]]&gt;=35,"Pass","Fail")</f>
        <v>Pass</v>
      </c>
    </row>
    <row r="867" spans="1:11" x14ac:dyDescent="0.3">
      <c r="A867" t="s">
        <v>988</v>
      </c>
      <c r="B867" t="s">
        <v>10</v>
      </c>
      <c r="C867" t="s">
        <v>11</v>
      </c>
      <c r="D867">
        <v>12</v>
      </c>
      <c r="E867" t="s">
        <v>33</v>
      </c>
      <c r="F867" t="s">
        <v>43</v>
      </c>
      <c r="G867">
        <v>83</v>
      </c>
      <c r="H867">
        <v>89</v>
      </c>
      <c r="I867" t="s">
        <v>35</v>
      </c>
      <c r="J867" t="str">
        <f>IF(Student_Data[[#This Row],[Marks]] &gt;= 90,"A+",IF(Student_Data[[#This Row],[Marks]]&gt;=80,"A",IF(Student_Data[[#This Row],[Marks]]&gt;=70,"B",IF(Student_Data[[#This Row],[Marks]]&gt;=60,"C","F"))))</f>
        <v>A</v>
      </c>
      <c r="K867" t="str">
        <f>IF(Student_Data[[#This Row],[Marks]]&gt;=35,"Pass","Fail")</f>
        <v>Pass</v>
      </c>
    </row>
    <row r="868" spans="1:11" x14ac:dyDescent="0.3">
      <c r="A868" t="s">
        <v>989</v>
      </c>
      <c r="B868" t="s">
        <v>452</v>
      </c>
      <c r="C868" t="s">
        <v>11</v>
      </c>
      <c r="D868">
        <v>11</v>
      </c>
      <c r="E868" t="s">
        <v>17</v>
      </c>
      <c r="F868" t="s">
        <v>13</v>
      </c>
      <c r="G868">
        <v>70</v>
      </c>
      <c r="H868">
        <v>88</v>
      </c>
      <c r="I868" t="s">
        <v>19</v>
      </c>
      <c r="J868" t="str">
        <f>IF(Student_Data[[#This Row],[Marks]] &gt;= 90,"A+",IF(Student_Data[[#This Row],[Marks]]&gt;=80,"A",IF(Student_Data[[#This Row],[Marks]]&gt;=70,"B",IF(Student_Data[[#This Row],[Marks]]&gt;=60,"C","F"))))</f>
        <v>B</v>
      </c>
      <c r="K868" t="str">
        <f>IF(Student_Data[[#This Row],[Marks]]&gt;=35,"Pass","Fail")</f>
        <v>Pass</v>
      </c>
    </row>
    <row r="869" spans="1:11" x14ac:dyDescent="0.3">
      <c r="A869" t="s">
        <v>990</v>
      </c>
      <c r="B869" t="s">
        <v>39</v>
      </c>
      <c r="C869" t="s">
        <v>11</v>
      </c>
      <c r="D869">
        <v>11</v>
      </c>
      <c r="E869" t="s">
        <v>12</v>
      </c>
      <c r="F869" t="s">
        <v>43</v>
      </c>
      <c r="G869">
        <v>75</v>
      </c>
      <c r="H869">
        <v>63</v>
      </c>
      <c r="I869" t="s">
        <v>40</v>
      </c>
      <c r="J869" t="str">
        <f>IF(Student_Data[[#This Row],[Marks]] &gt;= 90,"A+",IF(Student_Data[[#This Row],[Marks]]&gt;=80,"A",IF(Student_Data[[#This Row],[Marks]]&gt;=70,"B",IF(Student_Data[[#This Row],[Marks]]&gt;=60,"C","F"))))</f>
        <v>B</v>
      </c>
      <c r="K869" t="str">
        <f>IF(Student_Data[[#This Row],[Marks]]&gt;=35,"Pass","Fail")</f>
        <v>Pass</v>
      </c>
    </row>
    <row r="870" spans="1:11" x14ac:dyDescent="0.3">
      <c r="A870" t="s">
        <v>991</v>
      </c>
      <c r="B870" t="s">
        <v>90</v>
      </c>
      <c r="C870" t="s">
        <v>11</v>
      </c>
      <c r="D870">
        <v>12</v>
      </c>
      <c r="E870" t="s">
        <v>33</v>
      </c>
      <c r="F870" t="s">
        <v>34</v>
      </c>
      <c r="G870">
        <v>64</v>
      </c>
      <c r="H870">
        <v>74</v>
      </c>
      <c r="I870" t="s">
        <v>46</v>
      </c>
      <c r="J870" t="str">
        <f>IF(Student_Data[[#This Row],[Marks]] &gt;= 90,"A+",IF(Student_Data[[#This Row],[Marks]]&gt;=80,"A",IF(Student_Data[[#This Row],[Marks]]&gt;=70,"B",IF(Student_Data[[#This Row],[Marks]]&gt;=60,"C","F"))))</f>
        <v>C</v>
      </c>
      <c r="K870" t="str">
        <f>IF(Student_Data[[#This Row],[Marks]]&gt;=35,"Pass","Fail")</f>
        <v>Pass</v>
      </c>
    </row>
    <row r="871" spans="1:11" x14ac:dyDescent="0.3">
      <c r="A871" t="s">
        <v>992</v>
      </c>
      <c r="B871" t="s">
        <v>211</v>
      </c>
      <c r="C871" t="s">
        <v>11</v>
      </c>
      <c r="D871">
        <v>7</v>
      </c>
      <c r="E871" t="s">
        <v>33</v>
      </c>
      <c r="F871" t="s">
        <v>13</v>
      </c>
      <c r="G871">
        <v>60</v>
      </c>
      <c r="H871">
        <v>91</v>
      </c>
      <c r="I871" t="s">
        <v>46</v>
      </c>
      <c r="J871" t="str">
        <f>IF(Student_Data[[#This Row],[Marks]] &gt;= 90,"A+",IF(Student_Data[[#This Row],[Marks]]&gt;=80,"A",IF(Student_Data[[#This Row],[Marks]]&gt;=70,"B",IF(Student_Data[[#This Row],[Marks]]&gt;=60,"C","F"))))</f>
        <v>C</v>
      </c>
      <c r="K871" t="str">
        <f>IF(Student_Data[[#This Row],[Marks]]&gt;=35,"Pass","Fail")</f>
        <v>Pass</v>
      </c>
    </row>
    <row r="872" spans="1:11" x14ac:dyDescent="0.3">
      <c r="A872" t="s">
        <v>993</v>
      </c>
      <c r="B872" t="s">
        <v>247</v>
      </c>
      <c r="C872" t="s">
        <v>25</v>
      </c>
      <c r="D872">
        <v>10</v>
      </c>
      <c r="E872" t="s">
        <v>17</v>
      </c>
      <c r="F872" t="s">
        <v>34</v>
      </c>
      <c r="G872">
        <v>71</v>
      </c>
      <c r="H872">
        <v>83</v>
      </c>
      <c r="I872" t="s">
        <v>31</v>
      </c>
      <c r="J872" t="str">
        <f>IF(Student_Data[[#This Row],[Marks]] &gt;= 90,"A+",IF(Student_Data[[#This Row],[Marks]]&gt;=80,"A",IF(Student_Data[[#This Row],[Marks]]&gt;=70,"B",IF(Student_Data[[#This Row],[Marks]]&gt;=60,"C","F"))))</f>
        <v>B</v>
      </c>
      <c r="K872" t="str">
        <f>IF(Student_Data[[#This Row],[Marks]]&gt;=35,"Pass","Fail")</f>
        <v>Pass</v>
      </c>
    </row>
    <row r="873" spans="1:11" x14ac:dyDescent="0.3">
      <c r="A873" t="s">
        <v>994</v>
      </c>
      <c r="B873" t="s">
        <v>232</v>
      </c>
      <c r="C873" t="s">
        <v>11</v>
      </c>
      <c r="D873">
        <v>7</v>
      </c>
      <c r="E873" t="s">
        <v>12</v>
      </c>
      <c r="F873" t="s">
        <v>43</v>
      </c>
      <c r="G873">
        <v>68</v>
      </c>
      <c r="H873">
        <v>71</v>
      </c>
      <c r="I873" t="s">
        <v>46</v>
      </c>
      <c r="J873" t="str">
        <f>IF(Student_Data[[#This Row],[Marks]] &gt;= 90,"A+",IF(Student_Data[[#This Row],[Marks]]&gt;=80,"A",IF(Student_Data[[#This Row],[Marks]]&gt;=70,"B",IF(Student_Data[[#This Row],[Marks]]&gt;=60,"C","F"))))</f>
        <v>C</v>
      </c>
      <c r="K873" t="str">
        <f>IF(Student_Data[[#This Row],[Marks]]&gt;=35,"Pass","Fail")</f>
        <v>Pass</v>
      </c>
    </row>
    <row r="874" spans="1:11" x14ac:dyDescent="0.3">
      <c r="A874" t="s">
        <v>995</v>
      </c>
      <c r="B874" t="s">
        <v>10</v>
      </c>
      <c r="C874" t="s">
        <v>25</v>
      </c>
      <c r="D874">
        <v>8</v>
      </c>
      <c r="E874" t="s">
        <v>33</v>
      </c>
      <c r="F874" t="s">
        <v>18</v>
      </c>
      <c r="G874">
        <v>37</v>
      </c>
      <c r="H874">
        <v>76</v>
      </c>
      <c r="I874" t="s">
        <v>35</v>
      </c>
      <c r="J874" t="str">
        <f>IF(Student_Data[[#This Row],[Marks]] &gt;= 90,"A+",IF(Student_Data[[#This Row],[Marks]]&gt;=80,"A",IF(Student_Data[[#This Row],[Marks]]&gt;=70,"B",IF(Student_Data[[#This Row],[Marks]]&gt;=60,"C","F"))))</f>
        <v>F</v>
      </c>
      <c r="K874" t="str">
        <f>IF(Student_Data[[#This Row],[Marks]]&gt;=35,"Pass","Fail")</f>
        <v>Pass</v>
      </c>
    </row>
    <row r="875" spans="1:11" x14ac:dyDescent="0.3">
      <c r="A875" t="s">
        <v>996</v>
      </c>
      <c r="B875" t="s">
        <v>211</v>
      </c>
      <c r="C875" t="s">
        <v>25</v>
      </c>
      <c r="D875">
        <v>9</v>
      </c>
      <c r="E875" t="s">
        <v>33</v>
      </c>
      <c r="F875" t="s">
        <v>43</v>
      </c>
      <c r="G875">
        <v>69</v>
      </c>
      <c r="H875">
        <v>62</v>
      </c>
      <c r="I875" t="s">
        <v>19</v>
      </c>
      <c r="J875" t="str">
        <f>IF(Student_Data[[#This Row],[Marks]] &gt;= 90,"A+",IF(Student_Data[[#This Row],[Marks]]&gt;=80,"A",IF(Student_Data[[#This Row],[Marks]]&gt;=70,"B",IF(Student_Data[[#This Row],[Marks]]&gt;=60,"C","F"))))</f>
        <v>C</v>
      </c>
      <c r="K875" t="str">
        <f>IF(Student_Data[[#This Row],[Marks]]&gt;=35,"Pass","Fail")</f>
        <v>Pass</v>
      </c>
    </row>
    <row r="876" spans="1:11" x14ac:dyDescent="0.3">
      <c r="A876" t="s">
        <v>997</v>
      </c>
      <c r="B876" t="s">
        <v>61</v>
      </c>
      <c r="C876" t="s">
        <v>25</v>
      </c>
      <c r="D876">
        <v>12</v>
      </c>
      <c r="E876" t="s">
        <v>33</v>
      </c>
      <c r="F876" t="s">
        <v>22</v>
      </c>
      <c r="G876">
        <v>79</v>
      </c>
      <c r="H876">
        <v>60</v>
      </c>
      <c r="I876" t="s">
        <v>49</v>
      </c>
      <c r="J876" t="str">
        <f>IF(Student_Data[[#This Row],[Marks]] &gt;= 90,"A+",IF(Student_Data[[#This Row],[Marks]]&gt;=80,"A",IF(Student_Data[[#This Row],[Marks]]&gt;=70,"B",IF(Student_Data[[#This Row],[Marks]]&gt;=60,"C","F"))))</f>
        <v>B</v>
      </c>
      <c r="K876" t="str">
        <f>IF(Student_Data[[#This Row],[Marks]]&gt;=35,"Pass","Fail")</f>
        <v>Pass</v>
      </c>
    </row>
    <row r="877" spans="1:11" x14ac:dyDescent="0.3">
      <c r="A877" t="s">
        <v>998</v>
      </c>
      <c r="B877" t="s">
        <v>242</v>
      </c>
      <c r="C877" t="s">
        <v>25</v>
      </c>
      <c r="D877">
        <v>12</v>
      </c>
      <c r="E877" t="s">
        <v>12</v>
      </c>
      <c r="F877" t="s">
        <v>43</v>
      </c>
      <c r="G877">
        <v>78</v>
      </c>
      <c r="H877">
        <v>91</v>
      </c>
      <c r="I877" t="s">
        <v>19</v>
      </c>
      <c r="J877" t="str">
        <f>IF(Student_Data[[#This Row],[Marks]] &gt;= 90,"A+",IF(Student_Data[[#This Row],[Marks]]&gt;=80,"A",IF(Student_Data[[#This Row],[Marks]]&gt;=70,"B",IF(Student_Data[[#This Row],[Marks]]&gt;=60,"C","F"))))</f>
        <v>B</v>
      </c>
      <c r="K877" t="str">
        <f>IF(Student_Data[[#This Row],[Marks]]&gt;=35,"Pass","Fail")</f>
        <v>Pass</v>
      </c>
    </row>
    <row r="878" spans="1:11" x14ac:dyDescent="0.3">
      <c r="A878" t="s">
        <v>999</v>
      </c>
      <c r="B878" t="s">
        <v>147</v>
      </c>
      <c r="C878" t="s">
        <v>25</v>
      </c>
      <c r="D878">
        <v>8</v>
      </c>
      <c r="E878" t="s">
        <v>17</v>
      </c>
      <c r="F878" t="s">
        <v>22</v>
      </c>
      <c r="G878">
        <v>66</v>
      </c>
      <c r="H878">
        <v>67</v>
      </c>
      <c r="I878" t="s">
        <v>31</v>
      </c>
      <c r="J878" t="str">
        <f>IF(Student_Data[[#This Row],[Marks]] &gt;= 90,"A+",IF(Student_Data[[#This Row],[Marks]]&gt;=80,"A",IF(Student_Data[[#This Row],[Marks]]&gt;=70,"B",IF(Student_Data[[#This Row],[Marks]]&gt;=60,"C","F"))))</f>
        <v>C</v>
      </c>
      <c r="K878" t="str">
        <f>IF(Student_Data[[#This Row],[Marks]]&gt;=35,"Pass","Fail")</f>
        <v>Pass</v>
      </c>
    </row>
    <row r="879" spans="1:11" x14ac:dyDescent="0.3">
      <c r="A879" t="s">
        <v>1000</v>
      </c>
      <c r="B879" t="s">
        <v>16</v>
      </c>
      <c r="C879" t="s">
        <v>11</v>
      </c>
      <c r="D879">
        <v>12</v>
      </c>
      <c r="E879" t="s">
        <v>12</v>
      </c>
      <c r="F879" t="s">
        <v>43</v>
      </c>
      <c r="G879">
        <v>50</v>
      </c>
      <c r="H879">
        <v>69</v>
      </c>
      <c r="I879" t="s">
        <v>31</v>
      </c>
      <c r="J879" t="str">
        <f>IF(Student_Data[[#This Row],[Marks]] &gt;= 90,"A+",IF(Student_Data[[#This Row],[Marks]]&gt;=80,"A",IF(Student_Data[[#This Row],[Marks]]&gt;=70,"B",IF(Student_Data[[#This Row],[Marks]]&gt;=60,"C","F"))))</f>
        <v>F</v>
      </c>
      <c r="K879" t="str">
        <f>IF(Student_Data[[#This Row],[Marks]]&gt;=35,"Pass","Fail")</f>
        <v>Pass</v>
      </c>
    </row>
    <row r="880" spans="1:11" x14ac:dyDescent="0.3">
      <c r="A880" t="s">
        <v>1001</v>
      </c>
      <c r="B880" t="s">
        <v>51</v>
      </c>
      <c r="C880" t="s">
        <v>11</v>
      </c>
      <c r="D880">
        <v>9</v>
      </c>
      <c r="E880" t="s">
        <v>17</v>
      </c>
      <c r="F880" t="s">
        <v>43</v>
      </c>
      <c r="G880">
        <v>40</v>
      </c>
      <c r="H880">
        <v>88</v>
      </c>
      <c r="I880" t="s">
        <v>14</v>
      </c>
      <c r="J880" t="str">
        <f>IF(Student_Data[[#This Row],[Marks]] &gt;= 90,"A+",IF(Student_Data[[#This Row],[Marks]]&gt;=80,"A",IF(Student_Data[[#This Row],[Marks]]&gt;=70,"B",IF(Student_Data[[#This Row],[Marks]]&gt;=60,"C","F"))))</f>
        <v>F</v>
      </c>
      <c r="K880" t="str">
        <f>IF(Student_Data[[#This Row],[Marks]]&gt;=35,"Pass","Fail")</f>
        <v>Pass</v>
      </c>
    </row>
    <row r="881" spans="1:11" x14ac:dyDescent="0.3">
      <c r="A881" t="s">
        <v>1002</v>
      </c>
      <c r="B881" t="s">
        <v>102</v>
      </c>
      <c r="C881" t="s">
        <v>11</v>
      </c>
      <c r="D881">
        <v>10</v>
      </c>
      <c r="E881" t="s">
        <v>12</v>
      </c>
      <c r="F881" t="s">
        <v>43</v>
      </c>
      <c r="G881">
        <v>38</v>
      </c>
      <c r="H881">
        <v>90</v>
      </c>
      <c r="I881" t="s">
        <v>40</v>
      </c>
      <c r="J881" t="str">
        <f>IF(Student_Data[[#This Row],[Marks]] &gt;= 90,"A+",IF(Student_Data[[#This Row],[Marks]]&gt;=80,"A",IF(Student_Data[[#This Row],[Marks]]&gt;=70,"B",IF(Student_Data[[#This Row],[Marks]]&gt;=60,"C","F"))))</f>
        <v>F</v>
      </c>
      <c r="K881" t="str">
        <f>IF(Student_Data[[#This Row],[Marks]]&gt;=35,"Pass","Fail")</f>
        <v>Pass</v>
      </c>
    </row>
    <row r="882" spans="1:11" x14ac:dyDescent="0.3">
      <c r="A882" t="s">
        <v>1003</v>
      </c>
      <c r="B882" t="s">
        <v>244</v>
      </c>
      <c r="C882" t="s">
        <v>25</v>
      </c>
      <c r="D882">
        <v>7</v>
      </c>
      <c r="E882" t="s">
        <v>33</v>
      </c>
      <c r="F882" t="s">
        <v>26</v>
      </c>
      <c r="G882">
        <v>100</v>
      </c>
      <c r="H882">
        <v>90</v>
      </c>
      <c r="I882" t="s">
        <v>46</v>
      </c>
      <c r="J882" t="str">
        <f>IF(Student_Data[[#This Row],[Marks]] &gt;= 90,"A+",IF(Student_Data[[#This Row],[Marks]]&gt;=80,"A",IF(Student_Data[[#This Row],[Marks]]&gt;=70,"B",IF(Student_Data[[#This Row],[Marks]]&gt;=60,"C","F"))))</f>
        <v>A+</v>
      </c>
      <c r="K882" t="str">
        <f>IF(Student_Data[[#This Row],[Marks]]&gt;=35,"Pass","Fail")</f>
        <v>Pass</v>
      </c>
    </row>
    <row r="883" spans="1:11" x14ac:dyDescent="0.3">
      <c r="A883" t="s">
        <v>1004</v>
      </c>
      <c r="B883" t="s">
        <v>53</v>
      </c>
      <c r="C883" t="s">
        <v>25</v>
      </c>
      <c r="D883">
        <v>6</v>
      </c>
      <c r="E883" t="s">
        <v>12</v>
      </c>
      <c r="F883" t="s">
        <v>13</v>
      </c>
      <c r="G883">
        <v>71</v>
      </c>
      <c r="H883">
        <v>83</v>
      </c>
      <c r="I883" t="s">
        <v>35</v>
      </c>
      <c r="J883" t="str">
        <f>IF(Student_Data[[#This Row],[Marks]] &gt;= 90,"A+",IF(Student_Data[[#This Row],[Marks]]&gt;=80,"A",IF(Student_Data[[#This Row],[Marks]]&gt;=70,"B",IF(Student_Data[[#This Row],[Marks]]&gt;=60,"C","F"))))</f>
        <v>B</v>
      </c>
      <c r="K883" t="str">
        <f>IF(Student_Data[[#This Row],[Marks]]&gt;=35,"Pass","Fail")</f>
        <v>Pass</v>
      </c>
    </row>
    <row r="884" spans="1:11" x14ac:dyDescent="0.3">
      <c r="A884" t="s">
        <v>1005</v>
      </c>
      <c r="B884" t="s">
        <v>16</v>
      </c>
      <c r="C884" t="s">
        <v>11</v>
      </c>
      <c r="D884">
        <v>9</v>
      </c>
      <c r="E884" t="s">
        <v>12</v>
      </c>
      <c r="F884" t="s">
        <v>26</v>
      </c>
      <c r="G884">
        <v>42</v>
      </c>
      <c r="H884">
        <v>81</v>
      </c>
      <c r="I884" t="s">
        <v>14</v>
      </c>
      <c r="J884" t="str">
        <f>IF(Student_Data[[#This Row],[Marks]] &gt;= 90,"A+",IF(Student_Data[[#This Row],[Marks]]&gt;=80,"A",IF(Student_Data[[#This Row],[Marks]]&gt;=70,"B",IF(Student_Data[[#This Row],[Marks]]&gt;=60,"C","F"))))</f>
        <v>F</v>
      </c>
      <c r="K884" t="str">
        <f>IF(Student_Data[[#This Row],[Marks]]&gt;=35,"Pass","Fail")</f>
        <v>Pass</v>
      </c>
    </row>
    <row r="885" spans="1:11" x14ac:dyDescent="0.3">
      <c r="A885" t="s">
        <v>1006</v>
      </c>
      <c r="B885" t="s">
        <v>104</v>
      </c>
      <c r="C885" t="s">
        <v>11</v>
      </c>
      <c r="D885">
        <v>11</v>
      </c>
      <c r="E885" t="s">
        <v>17</v>
      </c>
      <c r="F885" t="s">
        <v>26</v>
      </c>
      <c r="G885">
        <v>45</v>
      </c>
      <c r="H885">
        <v>70</v>
      </c>
      <c r="I885" t="s">
        <v>46</v>
      </c>
      <c r="J885" t="str">
        <f>IF(Student_Data[[#This Row],[Marks]] &gt;= 90,"A+",IF(Student_Data[[#This Row],[Marks]]&gt;=80,"A",IF(Student_Data[[#This Row],[Marks]]&gt;=70,"B",IF(Student_Data[[#This Row],[Marks]]&gt;=60,"C","F"))))</f>
        <v>F</v>
      </c>
      <c r="K885" t="str">
        <f>IF(Student_Data[[#This Row],[Marks]]&gt;=35,"Pass","Fail")</f>
        <v>Pass</v>
      </c>
    </row>
    <row r="886" spans="1:11" x14ac:dyDescent="0.3">
      <c r="A886" t="s">
        <v>1007</v>
      </c>
      <c r="B886" t="s">
        <v>232</v>
      </c>
      <c r="C886" t="s">
        <v>25</v>
      </c>
      <c r="D886">
        <v>11</v>
      </c>
      <c r="E886" t="s">
        <v>33</v>
      </c>
      <c r="F886" t="s">
        <v>18</v>
      </c>
      <c r="G886">
        <v>85</v>
      </c>
      <c r="H886">
        <v>81</v>
      </c>
      <c r="I886" t="s">
        <v>46</v>
      </c>
      <c r="J886" t="str">
        <f>IF(Student_Data[[#This Row],[Marks]] &gt;= 90,"A+",IF(Student_Data[[#This Row],[Marks]]&gt;=80,"A",IF(Student_Data[[#This Row],[Marks]]&gt;=70,"B",IF(Student_Data[[#This Row],[Marks]]&gt;=60,"C","F"))))</f>
        <v>A</v>
      </c>
      <c r="K886" t="str">
        <f>IF(Student_Data[[#This Row],[Marks]]&gt;=35,"Pass","Fail")</f>
        <v>Pass</v>
      </c>
    </row>
    <row r="887" spans="1:11" x14ac:dyDescent="0.3">
      <c r="A887" t="s">
        <v>1008</v>
      </c>
      <c r="B887" t="s">
        <v>214</v>
      </c>
      <c r="C887" t="s">
        <v>25</v>
      </c>
      <c r="D887">
        <v>11</v>
      </c>
      <c r="E887" t="s">
        <v>12</v>
      </c>
      <c r="F887" t="s">
        <v>13</v>
      </c>
      <c r="G887">
        <v>82</v>
      </c>
      <c r="H887">
        <v>80</v>
      </c>
      <c r="I887" t="s">
        <v>35</v>
      </c>
      <c r="J887" t="str">
        <f>IF(Student_Data[[#This Row],[Marks]] &gt;= 90,"A+",IF(Student_Data[[#This Row],[Marks]]&gt;=80,"A",IF(Student_Data[[#This Row],[Marks]]&gt;=70,"B",IF(Student_Data[[#This Row],[Marks]]&gt;=60,"C","F"))))</f>
        <v>A</v>
      </c>
      <c r="K887" t="str">
        <f>IF(Student_Data[[#This Row],[Marks]]&gt;=35,"Pass","Fail")</f>
        <v>Pass</v>
      </c>
    </row>
    <row r="888" spans="1:11" x14ac:dyDescent="0.3">
      <c r="A888" t="s">
        <v>1009</v>
      </c>
      <c r="B888" t="s">
        <v>247</v>
      </c>
      <c r="C888" t="s">
        <v>25</v>
      </c>
      <c r="D888">
        <v>11</v>
      </c>
      <c r="E888" t="s">
        <v>17</v>
      </c>
      <c r="F888" t="s">
        <v>22</v>
      </c>
      <c r="G888">
        <v>45</v>
      </c>
      <c r="H888">
        <v>100</v>
      </c>
      <c r="I888" t="s">
        <v>35</v>
      </c>
      <c r="J888" t="str">
        <f>IF(Student_Data[[#This Row],[Marks]] &gt;= 90,"A+",IF(Student_Data[[#This Row],[Marks]]&gt;=80,"A",IF(Student_Data[[#This Row],[Marks]]&gt;=70,"B",IF(Student_Data[[#This Row],[Marks]]&gt;=60,"C","F"))))</f>
        <v>F</v>
      </c>
      <c r="K888" t="str">
        <f>IF(Student_Data[[#This Row],[Marks]]&gt;=35,"Pass","Fail")</f>
        <v>Pass</v>
      </c>
    </row>
    <row r="889" spans="1:11" x14ac:dyDescent="0.3">
      <c r="A889" t="s">
        <v>1010</v>
      </c>
      <c r="B889" t="s">
        <v>96</v>
      </c>
      <c r="C889" t="s">
        <v>25</v>
      </c>
      <c r="D889">
        <v>10</v>
      </c>
      <c r="E889" t="s">
        <v>17</v>
      </c>
      <c r="F889" t="s">
        <v>22</v>
      </c>
      <c r="G889">
        <v>73</v>
      </c>
      <c r="H889">
        <v>62</v>
      </c>
      <c r="I889" t="s">
        <v>49</v>
      </c>
      <c r="J889" t="str">
        <f>IF(Student_Data[[#This Row],[Marks]] &gt;= 90,"A+",IF(Student_Data[[#This Row],[Marks]]&gt;=80,"A",IF(Student_Data[[#This Row],[Marks]]&gt;=70,"B",IF(Student_Data[[#This Row],[Marks]]&gt;=60,"C","F"))))</f>
        <v>B</v>
      </c>
      <c r="K889" t="str">
        <f>IF(Student_Data[[#This Row],[Marks]]&gt;=35,"Pass","Fail")</f>
        <v>Pass</v>
      </c>
    </row>
    <row r="890" spans="1:11" x14ac:dyDescent="0.3">
      <c r="A890" t="s">
        <v>1011</v>
      </c>
      <c r="B890" t="s">
        <v>242</v>
      </c>
      <c r="C890" t="s">
        <v>25</v>
      </c>
      <c r="D890">
        <v>11</v>
      </c>
      <c r="E890" t="s">
        <v>12</v>
      </c>
      <c r="F890" t="s">
        <v>34</v>
      </c>
      <c r="G890">
        <v>50</v>
      </c>
      <c r="H890">
        <v>72</v>
      </c>
      <c r="I890" t="s">
        <v>40</v>
      </c>
      <c r="J890" t="str">
        <f>IF(Student_Data[[#This Row],[Marks]] &gt;= 90,"A+",IF(Student_Data[[#This Row],[Marks]]&gt;=80,"A",IF(Student_Data[[#This Row],[Marks]]&gt;=70,"B",IF(Student_Data[[#This Row],[Marks]]&gt;=60,"C","F"))))</f>
        <v>F</v>
      </c>
      <c r="K890" t="str">
        <f>IF(Student_Data[[#This Row],[Marks]]&gt;=35,"Pass","Fail")</f>
        <v>Pass</v>
      </c>
    </row>
    <row r="891" spans="1:11" x14ac:dyDescent="0.3">
      <c r="A891" t="s">
        <v>1012</v>
      </c>
      <c r="B891" t="s">
        <v>51</v>
      </c>
      <c r="C891" t="s">
        <v>11</v>
      </c>
      <c r="D891">
        <v>9</v>
      </c>
      <c r="E891" t="s">
        <v>33</v>
      </c>
      <c r="F891" t="s">
        <v>26</v>
      </c>
      <c r="G891">
        <v>74</v>
      </c>
      <c r="H891">
        <v>63</v>
      </c>
      <c r="I891" t="s">
        <v>19</v>
      </c>
      <c r="J891" t="str">
        <f>IF(Student_Data[[#This Row],[Marks]] &gt;= 90,"A+",IF(Student_Data[[#This Row],[Marks]]&gt;=80,"A",IF(Student_Data[[#This Row],[Marks]]&gt;=70,"B",IF(Student_Data[[#This Row],[Marks]]&gt;=60,"C","F"))))</f>
        <v>B</v>
      </c>
      <c r="K891" t="str">
        <f>IF(Student_Data[[#This Row],[Marks]]&gt;=35,"Pass","Fail")</f>
        <v>Pass</v>
      </c>
    </row>
    <row r="892" spans="1:11" x14ac:dyDescent="0.3">
      <c r="A892" t="s">
        <v>1013</v>
      </c>
      <c r="B892" t="s">
        <v>118</v>
      </c>
      <c r="C892" t="s">
        <v>11</v>
      </c>
      <c r="D892">
        <v>8</v>
      </c>
      <c r="E892" t="s">
        <v>33</v>
      </c>
      <c r="F892" t="s">
        <v>13</v>
      </c>
      <c r="G892">
        <v>44</v>
      </c>
      <c r="H892">
        <v>77</v>
      </c>
      <c r="I892" t="s">
        <v>35</v>
      </c>
      <c r="J892" t="str">
        <f>IF(Student_Data[[#This Row],[Marks]] &gt;= 90,"A+",IF(Student_Data[[#This Row],[Marks]]&gt;=80,"A",IF(Student_Data[[#This Row],[Marks]]&gt;=70,"B",IF(Student_Data[[#This Row],[Marks]]&gt;=60,"C","F"))))</f>
        <v>F</v>
      </c>
      <c r="K892" t="str">
        <f>IF(Student_Data[[#This Row],[Marks]]&gt;=35,"Pass","Fail")</f>
        <v>Pass</v>
      </c>
    </row>
    <row r="893" spans="1:11" x14ac:dyDescent="0.3">
      <c r="A893" t="s">
        <v>1014</v>
      </c>
      <c r="B893" t="s">
        <v>224</v>
      </c>
      <c r="C893" t="s">
        <v>25</v>
      </c>
      <c r="D893">
        <v>8</v>
      </c>
      <c r="E893" t="s">
        <v>12</v>
      </c>
      <c r="F893" t="s">
        <v>13</v>
      </c>
      <c r="G893">
        <v>74</v>
      </c>
      <c r="H893">
        <v>74</v>
      </c>
      <c r="I893" t="s">
        <v>46</v>
      </c>
      <c r="J893" t="str">
        <f>IF(Student_Data[[#This Row],[Marks]] &gt;= 90,"A+",IF(Student_Data[[#This Row],[Marks]]&gt;=80,"A",IF(Student_Data[[#This Row],[Marks]]&gt;=70,"B",IF(Student_Data[[#This Row],[Marks]]&gt;=60,"C","F"))))</f>
        <v>B</v>
      </c>
      <c r="K893" t="str">
        <f>IF(Student_Data[[#This Row],[Marks]]&gt;=35,"Pass","Fail")</f>
        <v>Pass</v>
      </c>
    </row>
    <row r="894" spans="1:11" x14ac:dyDescent="0.3">
      <c r="A894" t="s">
        <v>1015</v>
      </c>
      <c r="B894" t="s">
        <v>114</v>
      </c>
      <c r="C894" t="s">
        <v>11</v>
      </c>
      <c r="D894">
        <v>12</v>
      </c>
      <c r="E894" t="s">
        <v>17</v>
      </c>
      <c r="F894" t="s">
        <v>18</v>
      </c>
      <c r="G894">
        <v>55</v>
      </c>
      <c r="H894">
        <v>99</v>
      </c>
      <c r="I894" t="s">
        <v>14</v>
      </c>
      <c r="J894" t="str">
        <f>IF(Student_Data[[#This Row],[Marks]] &gt;= 90,"A+",IF(Student_Data[[#This Row],[Marks]]&gt;=80,"A",IF(Student_Data[[#This Row],[Marks]]&gt;=70,"B",IF(Student_Data[[#This Row],[Marks]]&gt;=60,"C","F"))))</f>
        <v>F</v>
      </c>
      <c r="K894" t="str">
        <f>IF(Student_Data[[#This Row],[Marks]]&gt;=35,"Pass","Fail")</f>
        <v>Pass</v>
      </c>
    </row>
    <row r="895" spans="1:11" x14ac:dyDescent="0.3">
      <c r="A895" t="s">
        <v>1016</v>
      </c>
      <c r="B895" t="s">
        <v>448</v>
      </c>
      <c r="C895" t="s">
        <v>25</v>
      </c>
      <c r="D895">
        <v>6</v>
      </c>
      <c r="E895" t="s">
        <v>12</v>
      </c>
      <c r="F895" t="s">
        <v>18</v>
      </c>
      <c r="G895">
        <v>83</v>
      </c>
      <c r="H895">
        <v>92</v>
      </c>
      <c r="I895" t="s">
        <v>35</v>
      </c>
      <c r="J895" t="str">
        <f>IF(Student_Data[[#This Row],[Marks]] &gt;= 90,"A+",IF(Student_Data[[#This Row],[Marks]]&gt;=80,"A",IF(Student_Data[[#This Row],[Marks]]&gt;=70,"B",IF(Student_Data[[#This Row],[Marks]]&gt;=60,"C","F"))))</f>
        <v>A</v>
      </c>
      <c r="K895" t="str">
        <f>IF(Student_Data[[#This Row],[Marks]]&gt;=35,"Pass","Fail")</f>
        <v>Pass</v>
      </c>
    </row>
    <row r="896" spans="1:11" x14ac:dyDescent="0.3">
      <c r="A896" t="s">
        <v>1017</v>
      </c>
      <c r="B896" t="s">
        <v>126</v>
      </c>
      <c r="C896" t="s">
        <v>25</v>
      </c>
      <c r="D896">
        <v>7</v>
      </c>
      <c r="E896" t="s">
        <v>12</v>
      </c>
      <c r="F896" t="s">
        <v>13</v>
      </c>
      <c r="G896">
        <v>41</v>
      </c>
      <c r="H896">
        <v>98</v>
      </c>
      <c r="I896" t="s">
        <v>14</v>
      </c>
      <c r="J896" t="str">
        <f>IF(Student_Data[[#This Row],[Marks]] &gt;= 90,"A+",IF(Student_Data[[#This Row],[Marks]]&gt;=80,"A",IF(Student_Data[[#This Row],[Marks]]&gt;=70,"B",IF(Student_Data[[#This Row],[Marks]]&gt;=60,"C","F"))))</f>
        <v>F</v>
      </c>
      <c r="K896" t="str">
        <f>IF(Student_Data[[#This Row],[Marks]]&gt;=35,"Pass","Fail")</f>
        <v>Pass</v>
      </c>
    </row>
    <row r="897" spans="1:11" x14ac:dyDescent="0.3">
      <c r="A897" t="s">
        <v>1018</v>
      </c>
      <c r="B897" t="s">
        <v>48</v>
      </c>
      <c r="C897" t="s">
        <v>25</v>
      </c>
      <c r="D897">
        <v>9</v>
      </c>
      <c r="E897" t="s">
        <v>33</v>
      </c>
      <c r="F897" t="s">
        <v>34</v>
      </c>
      <c r="G897">
        <v>51</v>
      </c>
      <c r="H897">
        <v>76</v>
      </c>
      <c r="I897" t="s">
        <v>40</v>
      </c>
      <c r="J897" t="str">
        <f>IF(Student_Data[[#This Row],[Marks]] &gt;= 90,"A+",IF(Student_Data[[#This Row],[Marks]]&gt;=80,"A",IF(Student_Data[[#This Row],[Marks]]&gt;=70,"B",IF(Student_Data[[#This Row],[Marks]]&gt;=60,"C","F"))))</f>
        <v>F</v>
      </c>
      <c r="K897" t="str">
        <f>IF(Student_Data[[#This Row],[Marks]]&gt;=35,"Pass","Fail")</f>
        <v>Pass</v>
      </c>
    </row>
    <row r="898" spans="1:11" x14ac:dyDescent="0.3">
      <c r="A898" t="s">
        <v>1019</v>
      </c>
      <c r="B898" t="s">
        <v>135</v>
      </c>
      <c r="C898" t="s">
        <v>25</v>
      </c>
      <c r="D898">
        <v>10</v>
      </c>
      <c r="E898" t="s">
        <v>33</v>
      </c>
      <c r="F898" t="s">
        <v>13</v>
      </c>
      <c r="G898">
        <v>54</v>
      </c>
      <c r="H898">
        <v>95</v>
      </c>
      <c r="I898" t="s">
        <v>31</v>
      </c>
      <c r="J898" t="str">
        <f>IF(Student_Data[[#This Row],[Marks]] &gt;= 90,"A+",IF(Student_Data[[#This Row],[Marks]]&gt;=80,"A",IF(Student_Data[[#This Row],[Marks]]&gt;=70,"B",IF(Student_Data[[#This Row],[Marks]]&gt;=60,"C","F"))))</f>
        <v>F</v>
      </c>
      <c r="K898" t="str">
        <f>IF(Student_Data[[#This Row],[Marks]]&gt;=35,"Pass","Fail")</f>
        <v>Pass</v>
      </c>
    </row>
    <row r="899" spans="1:11" x14ac:dyDescent="0.3">
      <c r="A899" t="s">
        <v>1020</v>
      </c>
      <c r="B899" t="s">
        <v>21</v>
      </c>
      <c r="C899" t="s">
        <v>25</v>
      </c>
      <c r="D899">
        <v>7</v>
      </c>
      <c r="E899" t="s">
        <v>12</v>
      </c>
      <c r="F899" t="s">
        <v>43</v>
      </c>
      <c r="G899">
        <v>69</v>
      </c>
      <c r="H899">
        <v>70</v>
      </c>
      <c r="I899" t="s">
        <v>35</v>
      </c>
      <c r="J899" t="str">
        <f>IF(Student_Data[[#This Row],[Marks]] &gt;= 90,"A+",IF(Student_Data[[#This Row],[Marks]]&gt;=80,"A",IF(Student_Data[[#This Row],[Marks]]&gt;=70,"B",IF(Student_Data[[#This Row],[Marks]]&gt;=60,"C","F"))))</f>
        <v>C</v>
      </c>
      <c r="K899" t="str">
        <f>IF(Student_Data[[#This Row],[Marks]]&gt;=35,"Pass","Fail")</f>
        <v>Pass</v>
      </c>
    </row>
    <row r="900" spans="1:11" x14ac:dyDescent="0.3">
      <c r="A900" t="s">
        <v>1021</v>
      </c>
      <c r="B900" t="s">
        <v>107</v>
      </c>
      <c r="C900" t="s">
        <v>11</v>
      </c>
      <c r="D900">
        <v>12</v>
      </c>
      <c r="E900" t="s">
        <v>17</v>
      </c>
      <c r="F900" t="s">
        <v>13</v>
      </c>
      <c r="G900">
        <v>95</v>
      </c>
      <c r="H900">
        <v>98</v>
      </c>
      <c r="I900" t="s">
        <v>35</v>
      </c>
      <c r="J900" t="str">
        <f>IF(Student_Data[[#This Row],[Marks]] &gt;= 90,"A+",IF(Student_Data[[#This Row],[Marks]]&gt;=80,"A",IF(Student_Data[[#This Row],[Marks]]&gt;=70,"B",IF(Student_Data[[#This Row],[Marks]]&gt;=60,"C","F"))))</f>
        <v>A+</v>
      </c>
      <c r="K900" t="str">
        <f>IF(Student_Data[[#This Row],[Marks]]&gt;=35,"Pass","Fail")</f>
        <v>Pass</v>
      </c>
    </row>
    <row r="901" spans="1:11" x14ac:dyDescent="0.3">
      <c r="A901" t="s">
        <v>1022</v>
      </c>
      <c r="B901" t="s">
        <v>244</v>
      </c>
      <c r="C901" t="s">
        <v>11</v>
      </c>
      <c r="D901">
        <v>8</v>
      </c>
      <c r="E901" t="s">
        <v>12</v>
      </c>
      <c r="F901" t="s">
        <v>26</v>
      </c>
      <c r="G901">
        <v>69</v>
      </c>
      <c r="H901">
        <v>77</v>
      </c>
      <c r="I901" t="s">
        <v>19</v>
      </c>
      <c r="J901" t="str">
        <f>IF(Student_Data[[#This Row],[Marks]] &gt;= 90,"A+",IF(Student_Data[[#This Row],[Marks]]&gt;=80,"A",IF(Student_Data[[#This Row],[Marks]]&gt;=70,"B",IF(Student_Data[[#This Row],[Marks]]&gt;=60,"C","F"))))</f>
        <v>C</v>
      </c>
      <c r="K901" t="str">
        <f>IF(Student_Data[[#This Row],[Marks]]&gt;=35,"Pass","Fail")</f>
        <v>Pass</v>
      </c>
    </row>
    <row r="902" spans="1:11" x14ac:dyDescent="0.3">
      <c r="A902" t="s">
        <v>1023</v>
      </c>
      <c r="B902" t="s">
        <v>28</v>
      </c>
      <c r="C902" t="s">
        <v>11</v>
      </c>
      <c r="D902">
        <v>10</v>
      </c>
      <c r="E902" t="s">
        <v>12</v>
      </c>
      <c r="F902" t="s">
        <v>34</v>
      </c>
      <c r="G902">
        <v>71</v>
      </c>
      <c r="H902">
        <v>86</v>
      </c>
      <c r="I902" t="s">
        <v>14</v>
      </c>
      <c r="J902" t="str">
        <f>IF(Student_Data[[#This Row],[Marks]] &gt;= 90,"A+",IF(Student_Data[[#This Row],[Marks]]&gt;=80,"A",IF(Student_Data[[#This Row],[Marks]]&gt;=70,"B",IF(Student_Data[[#This Row],[Marks]]&gt;=60,"C","F"))))</f>
        <v>B</v>
      </c>
      <c r="K902" t="str">
        <f>IF(Student_Data[[#This Row],[Marks]]&gt;=35,"Pass","Fail")</f>
        <v>Pass</v>
      </c>
    </row>
    <row r="903" spans="1:11" x14ac:dyDescent="0.3">
      <c r="A903" t="s">
        <v>1024</v>
      </c>
      <c r="B903" t="s">
        <v>129</v>
      </c>
      <c r="C903" t="s">
        <v>25</v>
      </c>
      <c r="D903">
        <v>10</v>
      </c>
      <c r="E903" t="s">
        <v>17</v>
      </c>
      <c r="F903" t="s">
        <v>18</v>
      </c>
      <c r="G903">
        <v>37</v>
      </c>
      <c r="H903">
        <v>93</v>
      </c>
      <c r="I903" t="s">
        <v>14</v>
      </c>
      <c r="J903" t="str">
        <f>IF(Student_Data[[#This Row],[Marks]] &gt;= 90,"A+",IF(Student_Data[[#This Row],[Marks]]&gt;=80,"A",IF(Student_Data[[#This Row],[Marks]]&gt;=70,"B",IF(Student_Data[[#This Row],[Marks]]&gt;=60,"C","F"))))</f>
        <v>F</v>
      </c>
      <c r="K903" t="str">
        <f>IF(Student_Data[[#This Row],[Marks]]&gt;=35,"Pass","Fail")</f>
        <v>Pass</v>
      </c>
    </row>
    <row r="904" spans="1:11" x14ac:dyDescent="0.3">
      <c r="A904" t="s">
        <v>1025</v>
      </c>
      <c r="B904" t="s">
        <v>176</v>
      </c>
      <c r="C904" t="s">
        <v>25</v>
      </c>
      <c r="D904">
        <v>11</v>
      </c>
      <c r="E904" t="s">
        <v>33</v>
      </c>
      <c r="F904" t="s">
        <v>26</v>
      </c>
      <c r="G904">
        <v>61</v>
      </c>
      <c r="H904">
        <v>70</v>
      </c>
      <c r="I904" t="s">
        <v>19</v>
      </c>
      <c r="J904" t="str">
        <f>IF(Student_Data[[#This Row],[Marks]] &gt;= 90,"A+",IF(Student_Data[[#This Row],[Marks]]&gt;=80,"A",IF(Student_Data[[#This Row],[Marks]]&gt;=70,"B",IF(Student_Data[[#This Row],[Marks]]&gt;=60,"C","F"))))</f>
        <v>C</v>
      </c>
      <c r="K904" t="str">
        <f>IF(Student_Data[[#This Row],[Marks]]&gt;=35,"Pass","Fail")</f>
        <v>Pass</v>
      </c>
    </row>
    <row r="905" spans="1:11" x14ac:dyDescent="0.3">
      <c r="A905" t="s">
        <v>1026</v>
      </c>
      <c r="B905" t="s">
        <v>457</v>
      </c>
      <c r="C905" t="s">
        <v>25</v>
      </c>
      <c r="D905">
        <v>7</v>
      </c>
      <c r="E905" t="s">
        <v>33</v>
      </c>
      <c r="F905" t="s">
        <v>26</v>
      </c>
      <c r="G905">
        <v>70</v>
      </c>
      <c r="H905">
        <v>67</v>
      </c>
      <c r="I905" t="s">
        <v>31</v>
      </c>
      <c r="J905" t="str">
        <f>IF(Student_Data[[#This Row],[Marks]] &gt;= 90,"A+",IF(Student_Data[[#This Row],[Marks]]&gt;=80,"A",IF(Student_Data[[#This Row],[Marks]]&gt;=70,"B",IF(Student_Data[[#This Row],[Marks]]&gt;=60,"C","F"))))</f>
        <v>B</v>
      </c>
      <c r="K905" t="str">
        <f>IF(Student_Data[[#This Row],[Marks]]&gt;=35,"Pass","Fail")</f>
        <v>Pass</v>
      </c>
    </row>
    <row r="906" spans="1:11" x14ac:dyDescent="0.3">
      <c r="A906" t="s">
        <v>1027</v>
      </c>
      <c r="B906" t="s">
        <v>104</v>
      </c>
      <c r="C906" t="s">
        <v>25</v>
      </c>
      <c r="D906">
        <v>12</v>
      </c>
      <c r="E906" t="s">
        <v>17</v>
      </c>
      <c r="F906" t="s">
        <v>43</v>
      </c>
      <c r="G906">
        <v>71</v>
      </c>
      <c r="H906">
        <v>65</v>
      </c>
      <c r="I906" t="s">
        <v>14</v>
      </c>
      <c r="J906" t="str">
        <f>IF(Student_Data[[#This Row],[Marks]] &gt;= 90,"A+",IF(Student_Data[[#This Row],[Marks]]&gt;=80,"A",IF(Student_Data[[#This Row],[Marks]]&gt;=70,"B",IF(Student_Data[[#This Row],[Marks]]&gt;=60,"C","F"))))</f>
        <v>B</v>
      </c>
      <c r="K906" t="str">
        <f>IF(Student_Data[[#This Row],[Marks]]&gt;=35,"Pass","Fail")</f>
        <v>Pass</v>
      </c>
    </row>
    <row r="907" spans="1:11" x14ac:dyDescent="0.3">
      <c r="A907" t="s">
        <v>1028</v>
      </c>
      <c r="B907" t="s">
        <v>214</v>
      </c>
      <c r="C907" t="s">
        <v>11</v>
      </c>
      <c r="D907">
        <v>8</v>
      </c>
      <c r="E907" t="s">
        <v>33</v>
      </c>
      <c r="F907" t="s">
        <v>22</v>
      </c>
      <c r="G907">
        <v>54</v>
      </c>
      <c r="H907">
        <v>80</v>
      </c>
      <c r="I907" t="s">
        <v>14</v>
      </c>
      <c r="J907" t="str">
        <f>IF(Student_Data[[#This Row],[Marks]] &gt;= 90,"A+",IF(Student_Data[[#This Row],[Marks]]&gt;=80,"A",IF(Student_Data[[#This Row],[Marks]]&gt;=70,"B",IF(Student_Data[[#This Row],[Marks]]&gt;=60,"C","F"))))</f>
        <v>F</v>
      </c>
      <c r="K907" t="str">
        <f>IF(Student_Data[[#This Row],[Marks]]&gt;=35,"Pass","Fail")</f>
        <v>Pass</v>
      </c>
    </row>
    <row r="908" spans="1:11" x14ac:dyDescent="0.3">
      <c r="A908" t="s">
        <v>1029</v>
      </c>
      <c r="B908" t="s">
        <v>173</v>
      </c>
      <c r="C908" t="s">
        <v>25</v>
      </c>
      <c r="D908">
        <v>7</v>
      </c>
      <c r="E908" t="s">
        <v>12</v>
      </c>
      <c r="F908" t="s">
        <v>18</v>
      </c>
      <c r="G908">
        <v>96</v>
      </c>
      <c r="H908">
        <v>90</v>
      </c>
      <c r="I908" t="s">
        <v>49</v>
      </c>
      <c r="J908" t="str">
        <f>IF(Student_Data[[#This Row],[Marks]] &gt;= 90,"A+",IF(Student_Data[[#This Row],[Marks]]&gt;=80,"A",IF(Student_Data[[#This Row],[Marks]]&gt;=70,"B",IF(Student_Data[[#This Row],[Marks]]&gt;=60,"C","F"))))</f>
        <v>A+</v>
      </c>
      <c r="K908" t="str">
        <f>IF(Student_Data[[#This Row],[Marks]]&gt;=35,"Pass","Fail")</f>
        <v>Pass</v>
      </c>
    </row>
    <row r="909" spans="1:11" x14ac:dyDescent="0.3">
      <c r="A909" t="s">
        <v>1030</v>
      </c>
      <c r="B909" t="s">
        <v>316</v>
      </c>
      <c r="C909" t="s">
        <v>25</v>
      </c>
      <c r="D909">
        <v>8</v>
      </c>
      <c r="E909" t="s">
        <v>12</v>
      </c>
      <c r="F909" t="s">
        <v>22</v>
      </c>
      <c r="G909">
        <v>64</v>
      </c>
      <c r="H909">
        <v>90</v>
      </c>
      <c r="I909" t="s">
        <v>49</v>
      </c>
      <c r="J909" t="str">
        <f>IF(Student_Data[[#This Row],[Marks]] &gt;= 90,"A+",IF(Student_Data[[#This Row],[Marks]]&gt;=80,"A",IF(Student_Data[[#This Row],[Marks]]&gt;=70,"B",IF(Student_Data[[#This Row],[Marks]]&gt;=60,"C","F"))))</f>
        <v>C</v>
      </c>
      <c r="K909" t="str">
        <f>IF(Student_Data[[#This Row],[Marks]]&gt;=35,"Pass","Fail")</f>
        <v>Pass</v>
      </c>
    </row>
    <row r="910" spans="1:11" x14ac:dyDescent="0.3">
      <c r="A910" t="s">
        <v>1031</v>
      </c>
      <c r="B910" t="s">
        <v>147</v>
      </c>
      <c r="C910" t="s">
        <v>25</v>
      </c>
      <c r="D910">
        <v>9</v>
      </c>
      <c r="E910" t="s">
        <v>12</v>
      </c>
      <c r="F910" t="s">
        <v>22</v>
      </c>
      <c r="G910">
        <v>97</v>
      </c>
      <c r="H910">
        <v>86</v>
      </c>
      <c r="I910" t="s">
        <v>49</v>
      </c>
      <c r="J910" t="str">
        <f>IF(Student_Data[[#This Row],[Marks]] &gt;= 90,"A+",IF(Student_Data[[#This Row],[Marks]]&gt;=80,"A",IF(Student_Data[[#This Row],[Marks]]&gt;=70,"B",IF(Student_Data[[#This Row],[Marks]]&gt;=60,"C","F"))))</f>
        <v>A+</v>
      </c>
      <c r="K910" t="str">
        <f>IF(Student_Data[[#This Row],[Marks]]&gt;=35,"Pass","Fail")</f>
        <v>Pass</v>
      </c>
    </row>
    <row r="911" spans="1:11" x14ac:dyDescent="0.3">
      <c r="A911" t="s">
        <v>1032</v>
      </c>
      <c r="B911" t="s">
        <v>51</v>
      </c>
      <c r="C911" t="s">
        <v>11</v>
      </c>
      <c r="D911">
        <v>7</v>
      </c>
      <c r="E911" t="s">
        <v>33</v>
      </c>
      <c r="F911" t="s">
        <v>34</v>
      </c>
      <c r="G911">
        <v>60</v>
      </c>
      <c r="H911">
        <v>93</v>
      </c>
      <c r="I911" t="s">
        <v>46</v>
      </c>
      <c r="J911" t="str">
        <f>IF(Student_Data[[#This Row],[Marks]] &gt;= 90,"A+",IF(Student_Data[[#This Row],[Marks]]&gt;=80,"A",IF(Student_Data[[#This Row],[Marks]]&gt;=70,"B",IF(Student_Data[[#This Row],[Marks]]&gt;=60,"C","F"))))</f>
        <v>C</v>
      </c>
      <c r="K911" t="str">
        <f>IF(Student_Data[[#This Row],[Marks]]&gt;=35,"Pass","Fail")</f>
        <v>Pass</v>
      </c>
    </row>
    <row r="912" spans="1:11" x14ac:dyDescent="0.3">
      <c r="A912" t="s">
        <v>1033</v>
      </c>
      <c r="B912" t="s">
        <v>164</v>
      </c>
      <c r="C912" t="s">
        <v>25</v>
      </c>
      <c r="D912">
        <v>12</v>
      </c>
      <c r="E912" t="s">
        <v>17</v>
      </c>
      <c r="F912" t="s">
        <v>18</v>
      </c>
      <c r="G912">
        <v>100</v>
      </c>
      <c r="H912">
        <v>63</v>
      </c>
      <c r="I912" t="s">
        <v>49</v>
      </c>
      <c r="J912" t="str">
        <f>IF(Student_Data[[#This Row],[Marks]] &gt;= 90,"A+",IF(Student_Data[[#This Row],[Marks]]&gt;=80,"A",IF(Student_Data[[#This Row],[Marks]]&gt;=70,"B",IF(Student_Data[[#This Row],[Marks]]&gt;=60,"C","F"))))</f>
        <v>A+</v>
      </c>
      <c r="K912" t="str">
        <f>IF(Student_Data[[#This Row],[Marks]]&gt;=35,"Pass","Fail")</f>
        <v>Pass</v>
      </c>
    </row>
    <row r="913" spans="1:11" x14ac:dyDescent="0.3">
      <c r="A913" t="s">
        <v>1034</v>
      </c>
      <c r="B913" t="s">
        <v>189</v>
      </c>
      <c r="C913" t="s">
        <v>25</v>
      </c>
      <c r="D913">
        <v>7</v>
      </c>
      <c r="E913" t="s">
        <v>12</v>
      </c>
      <c r="F913" t="s">
        <v>26</v>
      </c>
      <c r="G913">
        <v>98</v>
      </c>
      <c r="H913">
        <v>92</v>
      </c>
      <c r="I913" t="s">
        <v>35</v>
      </c>
      <c r="J913" t="str">
        <f>IF(Student_Data[[#This Row],[Marks]] &gt;= 90,"A+",IF(Student_Data[[#This Row],[Marks]]&gt;=80,"A",IF(Student_Data[[#This Row],[Marks]]&gt;=70,"B",IF(Student_Data[[#This Row],[Marks]]&gt;=60,"C","F"))))</f>
        <v>A+</v>
      </c>
      <c r="K913" t="str">
        <f>IF(Student_Data[[#This Row],[Marks]]&gt;=35,"Pass","Fail")</f>
        <v>Pass</v>
      </c>
    </row>
    <row r="914" spans="1:11" x14ac:dyDescent="0.3">
      <c r="A914" t="s">
        <v>1035</v>
      </c>
      <c r="B914" t="s">
        <v>118</v>
      </c>
      <c r="C914" t="s">
        <v>11</v>
      </c>
      <c r="D914">
        <v>10</v>
      </c>
      <c r="E914" t="s">
        <v>12</v>
      </c>
      <c r="F914" t="s">
        <v>13</v>
      </c>
      <c r="G914">
        <v>51</v>
      </c>
      <c r="H914">
        <v>92</v>
      </c>
      <c r="I914" t="s">
        <v>49</v>
      </c>
      <c r="J914" t="str">
        <f>IF(Student_Data[[#This Row],[Marks]] &gt;= 90,"A+",IF(Student_Data[[#This Row],[Marks]]&gt;=80,"A",IF(Student_Data[[#This Row],[Marks]]&gt;=70,"B",IF(Student_Data[[#This Row],[Marks]]&gt;=60,"C","F"))))</f>
        <v>F</v>
      </c>
      <c r="K914" t="str">
        <f>IF(Student_Data[[#This Row],[Marks]]&gt;=35,"Pass","Fail")</f>
        <v>Pass</v>
      </c>
    </row>
    <row r="915" spans="1:11" x14ac:dyDescent="0.3">
      <c r="A915" t="s">
        <v>1036</v>
      </c>
      <c r="B915" t="s">
        <v>16</v>
      </c>
      <c r="C915" t="s">
        <v>25</v>
      </c>
      <c r="D915">
        <v>6</v>
      </c>
      <c r="E915" t="s">
        <v>12</v>
      </c>
      <c r="F915" t="s">
        <v>18</v>
      </c>
      <c r="G915">
        <v>33</v>
      </c>
      <c r="H915">
        <v>97</v>
      </c>
      <c r="I915" t="s">
        <v>49</v>
      </c>
      <c r="J915" t="str">
        <f>IF(Student_Data[[#This Row],[Marks]] &gt;= 90,"A+",IF(Student_Data[[#This Row],[Marks]]&gt;=80,"A",IF(Student_Data[[#This Row],[Marks]]&gt;=70,"B",IF(Student_Data[[#This Row],[Marks]]&gt;=60,"C","F"))))</f>
        <v>F</v>
      </c>
      <c r="K915" t="str">
        <f>IF(Student_Data[[#This Row],[Marks]]&gt;=35,"Pass","Fail")</f>
        <v>Fail</v>
      </c>
    </row>
    <row r="916" spans="1:11" x14ac:dyDescent="0.3">
      <c r="A916" t="s">
        <v>1037</v>
      </c>
      <c r="B916" t="s">
        <v>82</v>
      </c>
      <c r="C916" t="s">
        <v>25</v>
      </c>
      <c r="D916">
        <v>7</v>
      </c>
      <c r="E916" t="s">
        <v>33</v>
      </c>
      <c r="F916" t="s">
        <v>22</v>
      </c>
      <c r="G916">
        <v>63</v>
      </c>
      <c r="H916">
        <v>72</v>
      </c>
      <c r="I916" t="s">
        <v>14</v>
      </c>
      <c r="J916" t="str">
        <f>IF(Student_Data[[#This Row],[Marks]] &gt;= 90,"A+",IF(Student_Data[[#This Row],[Marks]]&gt;=80,"A",IF(Student_Data[[#This Row],[Marks]]&gt;=70,"B",IF(Student_Data[[#This Row],[Marks]]&gt;=60,"C","F"))))</f>
        <v>C</v>
      </c>
      <c r="K916" t="str">
        <f>IF(Student_Data[[#This Row],[Marks]]&gt;=35,"Pass","Fail")</f>
        <v>Pass</v>
      </c>
    </row>
    <row r="917" spans="1:11" x14ac:dyDescent="0.3">
      <c r="A917" t="s">
        <v>1038</v>
      </c>
      <c r="B917" t="s">
        <v>168</v>
      </c>
      <c r="C917" t="s">
        <v>11</v>
      </c>
      <c r="D917">
        <v>8</v>
      </c>
      <c r="E917" t="s">
        <v>17</v>
      </c>
      <c r="F917" t="s">
        <v>13</v>
      </c>
      <c r="G917">
        <v>82</v>
      </c>
      <c r="H917">
        <v>62</v>
      </c>
      <c r="I917" t="s">
        <v>14</v>
      </c>
      <c r="J917" t="str">
        <f>IF(Student_Data[[#This Row],[Marks]] &gt;= 90,"A+",IF(Student_Data[[#This Row],[Marks]]&gt;=80,"A",IF(Student_Data[[#This Row],[Marks]]&gt;=70,"B",IF(Student_Data[[#This Row],[Marks]]&gt;=60,"C","F"))))</f>
        <v>A</v>
      </c>
      <c r="K917" t="str">
        <f>IF(Student_Data[[#This Row],[Marks]]&gt;=35,"Pass","Fail")</f>
        <v>Pass</v>
      </c>
    </row>
    <row r="918" spans="1:11" x14ac:dyDescent="0.3">
      <c r="A918" t="s">
        <v>1039</v>
      </c>
      <c r="B918" t="s">
        <v>204</v>
      </c>
      <c r="C918" t="s">
        <v>11</v>
      </c>
      <c r="D918">
        <v>11</v>
      </c>
      <c r="E918" t="s">
        <v>17</v>
      </c>
      <c r="F918" t="s">
        <v>26</v>
      </c>
      <c r="G918">
        <v>44</v>
      </c>
      <c r="H918">
        <v>66</v>
      </c>
      <c r="I918" t="s">
        <v>19</v>
      </c>
      <c r="J918" t="str">
        <f>IF(Student_Data[[#This Row],[Marks]] &gt;= 90,"A+",IF(Student_Data[[#This Row],[Marks]]&gt;=80,"A",IF(Student_Data[[#This Row],[Marks]]&gt;=70,"B",IF(Student_Data[[#This Row],[Marks]]&gt;=60,"C","F"))))</f>
        <v>F</v>
      </c>
      <c r="K918" t="str">
        <f>IF(Student_Data[[#This Row],[Marks]]&gt;=35,"Pass","Fail")</f>
        <v>Pass</v>
      </c>
    </row>
    <row r="919" spans="1:11" x14ac:dyDescent="0.3">
      <c r="A919" t="s">
        <v>1040</v>
      </c>
      <c r="B919" t="s">
        <v>244</v>
      </c>
      <c r="C919" t="s">
        <v>25</v>
      </c>
      <c r="D919">
        <v>10</v>
      </c>
      <c r="E919" t="s">
        <v>12</v>
      </c>
      <c r="F919" t="s">
        <v>18</v>
      </c>
      <c r="G919">
        <v>60</v>
      </c>
      <c r="H919">
        <v>81</v>
      </c>
      <c r="I919" t="s">
        <v>46</v>
      </c>
      <c r="J919" t="str">
        <f>IF(Student_Data[[#This Row],[Marks]] &gt;= 90,"A+",IF(Student_Data[[#This Row],[Marks]]&gt;=80,"A",IF(Student_Data[[#This Row],[Marks]]&gt;=70,"B",IF(Student_Data[[#This Row],[Marks]]&gt;=60,"C","F"))))</f>
        <v>C</v>
      </c>
      <c r="K919" t="str">
        <f>IF(Student_Data[[#This Row],[Marks]]&gt;=35,"Pass","Fail")</f>
        <v>Pass</v>
      </c>
    </row>
    <row r="920" spans="1:11" x14ac:dyDescent="0.3">
      <c r="A920" t="s">
        <v>1041</v>
      </c>
      <c r="B920" t="s">
        <v>455</v>
      </c>
      <c r="C920" t="s">
        <v>25</v>
      </c>
      <c r="D920">
        <v>6</v>
      </c>
      <c r="E920" t="s">
        <v>33</v>
      </c>
      <c r="F920" t="s">
        <v>26</v>
      </c>
      <c r="G920">
        <v>64</v>
      </c>
      <c r="H920">
        <v>99</v>
      </c>
      <c r="I920" t="s">
        <v>35</v>
      </c>
      <c r="J920" t="str">
        <f>IF(Student_Data[[#This Row],[Marks]] &gt;= 90,"A+",IF(Student_Data[[#This Row],[Marks]]&gt;=80,"A",IF(Student_Data[[#This Row],[Marks]]&gt;=70,"B",IF(Student_Data[[#This Row],[Marks]]&gt;=60,"C","F"))))</f>
        <v>C</v>
      </c>
      <c r="K920" t="str">
        <f>IF(Student_Data[[#This Row],[Marks]]&gt;=35,"Pass","Fail")</f>
        <v>Pass</v>
      </c>
    </row>
    <row r="921" spans="1:11" x14ac:dyDescent="0.3">
      <c r="A921" t="s">
        <v>1042</v>
      </c>
      <c r="B921" t="s">
        <v>39</v>
      </c>
      <c r="C921" t="s">
        <v>11</v>
      </c>
      <c r="D921">
        <v>12</v>
      </c>
      <c r="E921" t="s">
        <v>12</v>
      </c>
      <c r="F921" t="s">
        <v>18</v>
      </c>
      <c r="G921">
        <v>72</v>
      </c>
      <c r="H921">
        <v>61</v>
      </c>
      <c r="I921" t="s">
        <v>46</v>
      </c>
      <c r="J921" t="str">
        <f>IF(Student_Data[[#This Row],[Marks]] &gt;= 90,"A+",IF(Student_Data[[#This Row],[Marks]]&gt;=80,"A",IF(Student_Data[[#This Row],[Marks]]&gt;=70,"B",IF(Student_Data[[#This Row],[Marks]]&gt;=60,"C","F"))))</f>
        <v>B</v>
      </c>
      <c r="K921" t="str">
        <f>IF(Student_Data[[#This Row],[Marks]]&gt;=35,"Pass","Fail")</f>
        <v>Pass</v>
      </c>
    </row>
    <row r="922" spans="1:11" x14ac:dyDescent="0.3">
      <c r="A922" t="s">
        <v>1043</v>
      </c>
      <c r="B922" t="s">
        <v>59</v>
      </c>
      <c r="C922" t="s">
        <v>25</v>
      </c>
      <c r="D922">
        <v>9</v>
      </c>
      <c r="E922" t="s">
        <v>17</v>
      </c>
      <c r="F922" t="s">
        <v>13</v>
      </c>
      <c r="G922">
        <v>38</v>
      </c>
      <c r="H922">
        <v>77</v>
      </c>
      <c r="I922" t="s">
        <v>49</v>
      </c>
      <c r="J922" t="str">
        <f>IF(Student_Data[[#This Row],[Marks]] &gt;= 90,"A+",IF(Student_Data[[#This Row],[Marks]]&gt;=80,"A",IF(Student_Data[[#This Row],[Marks]]&gt;=70,"B",IF(Student_Data[[#This Row],[Marks]]&gt;=60,"C","F"))))</f>
        <v>F</v>
      </c>
      <c r="K922" t="str">
        <f>IF(Student_Data[[#This Row],[Marks]]&gt;=35,"Pass","Fail")</f>
        <v>Pass</v>
      </c>
    </row>
    <row r="923" spans="1:11" x14ac:dyDescent="0.3">
      <c r="A923" t="s">
        <v>1044</v>
      </c>
      <c r="B923" t="s">
        <v>30</v>
      </c>
      <c r="C923" t="s">
        <v>11</v>
      </c>
      <c r="D923">
        <v>12</v>
      </c>
      <c r="E923" t="s">
        <v>17</v>
      </c>
      <c r="F923" t="s">
        <v>26</v>
      </c>
      <c r="G923">
        <v>39</v>
      </c>
      <c r="H923">
        <v>64</v>
      </c>
      <c r="I923" t="s">
        <v>46</v>
      </c>
      <c r="J923" t="str">
        <f>IF(Student_Data[[#This Row],[Marks]] &gt;= 90,"A+",IF(Student_Data[[#This Row],[Marks]]&gt;=80,"A",IF(Student_Data[[#This Row],[Marks]]&gt;=70,"B",IF(Student_Data[[#This Row],[Marks]]&gt;=60,"C","F"))))</f>
        <v>F</v>
      </c>
      <c r="K923" t="str">
        <f>IF(Student_Data[[#This Row],[Marks]]&gt;=35,"Pass","Fail")</f>
        <v>Pass</v>
      </c>
    </row>
    <row r="924" spans="1:11" x14ac:dyDescent="0.3">
      <c r="A924" t="s">
        <v>1045</v>
      </c>
      <c r="B924" t="s">
        <v>147</v>
      </c>
      <c r="C924" t="s">
        <v>25</v>
      </c>
      <c r="D924">
        <v>9</v>
      </c>
      <c r="E924" t="s">
        <v>12</v>
      </c>
      <c r="F924" t="s">
        <v>13</v>
      </c>
      <c r="G924">
        <v>48</v>
      </c>
      <c r="H924">
        <v>68</v>
      </c>
      <c r="I924" t="s">
        <v>19</v>
      </c>
      <c r="J924" t="str">
        <f>IF(Student_Data[[#This Row],[Marks]] &gt;= 90,"A+",IF(Student_Data[[#This Row],[Marks]]&gt;=80,"A",IF(Student_Data[[#This Row],[Marks]]&gt;=70,"B",IF(Student_Data[[#This Row],[Marks]]&gt;=60,"C","F"))))</f>
        <v>F</v>
      </c>
      <c r="K924" t="str">
        <f>IF(Student_Data[[#This Row],[Marks]]&gt;=35,"Pass","Fail")</f>
        <v>Pass</v>
      </c>
    </row>
    <row r="925" spans="1:11" x14ac:dyDescent="0.3">
      <c r="A925" t="s">
        <v>1046</v>
      </c>
      <c r="B925" t="s">
        <v>211</v>
      </c>
      <c r="C925" t="s">
        <v>25</v>
      </c>
      <c r="D925">
        <v>9</v>
      </c>
      <c r="E925" t="s">
        <v>33</v>
      </c>
      <c r="F925" t="s">
        <v>26</v>
      </c>
      <c r="G925">
        <v>52</v>
      </c>
      <c r="H925">
        <v>69</v>
      </c>
      <c r="I925" t="s">
        <v>35</v>
      </c>
      <c r="J925" t="str">
        <f>IF(Student_Data[[#This Row],[Marks]] &gt;= 90,"A+",IF(Student_Data[[#This Row],[Marks]]&gt;=80,"A",IF(Student_Data[[#This Row],[Marks]]&gt;=70,"B",IF(Student_Data[[#This Row],[Marks]]&gt;=60,"C","F"))))</f>
        <v>F</v>
      </c>
      <c r="K925" t="str">
        <f>IF(Student_Data[[#This Row],[Marks]]&gt;=35,"Pass","Fail")</f>
        <v>Pass</v>
      </c>
    </row>
    <row r="926" spans="1:11" x14ac:dyDescent="0.3">
      <c r="A926" t="s">
        <v>1047</v>
      </c>
      <c r="B926" t="s">
        <v>68</v>
      </c>
      <c r="C926" t="s">
        <v>25</v>
      </c>
      <c r="D926">
        <v>6</v>
      </c>
      <c r="E926" t="s">
        <v>12</v>
      </c>
      <c r="F926" t="s">
        <v>34</v>
      </c>
      <c r="G926">
        <v>45</v>
      </c>
      <c r="H926">
        <v>80</v>
      </c>
      <c r="I926" t="s">
        <v>46</v>
      </c>
      <c r="J926" t="str">
        <f>IF(Student_Data[[#This Row],[Marks]] &gt;= 90,"A+",IF(Student_Data[[#This Row],[Marks]]&gt;=80,"A",IF(Student_Data[[#This Row],[Marks]]&gt;=70,"B",IF(Student_Data[[#This Row],[Marks]]&gt;=60,"C","F"))))</f>
        <v>F</v>
      </c>
      <c r="K926" t="str">
        <f>IF(Student_Data[[#This Row],[Marks]]&gt;=35,"Pass","Fail")</f>
        <v>Pass</v>
      </c>
    </row>
    <row r="927" spans="1:11" x14ac:dyDescent="0.3">
      <c r="A927" t="s">
        <v>1048</v>
      </c>
      <c r="B927" t="s">
        <v>383</v>
      </c>
      <c r="C927" t="s">
        <v>25</v>
      </c>
      <c r="D927">
        <v>6</v>
      </c>
      <c r="E927" t="s">
        <v>17</v>
      </c>
      <c r="F927" t="s">
        <v>34</v>
      </c>
      <c r="G927">
        <v>78</v>
      </c>
      <c r="H927">
        <v>65</v>
      </c>
      <c r="I927" t="s">
        <v>19</v>
      </c>
      <c r="J927" t="str">
        <f>IF(Student_Data[[#This Row],[Marks]] &gt;= 90,"A+",IF(Student_Data[[#This Row],[Marks]]&gt;=80,"A",IF(Student_Data[[#This Row],[Marks]]&gt;=70,"B",IF(Student_Data[[#This Row],[Marks]]&gt;=60,"C","F"))))</f>
        <v>B</v>
      </c>
      <c r="K927" t="str">
        <f>IF(Student_Data[[#This Row],[Marks]]&gt;=35,"Pass","Fail")</f>
        <v>Pass</v>
      </c>
    </row>
    <row r="928" spans="1:11" x14ac:dyDescent="0.3">
      <c r="A928" t="s">
        <v>1049</v>
      </c>
      <c r="B928" t="s">
        <v>254</v>
      </c>
      <c r="C928" t="s">
        <v>25</v>
      </c>
      <c r="D928">
        <v>9</v>
      </c>
      <c r="E928" t="s">
        <v>33</v>
      </c>
      <c r="F928" t="s">
        <v>13</v>
      </c>
      <c r="G928">
        <v>97</v>
      </c>
      <c r="H928">
        <v>90</v>
      </c>
      <c r="I928" t="s">
        <v>40</v>
      </c>
      <c r="J928" t="str">
        <f>IF(Student_Data[[#This Row],[Marks]] &gt;= 90,"A+",IF(Student_Data[[#This Row],[Marks]]&gt;=80,"A",IF(Student_Data[[#This Row],[Marks]]&gt;=70,"B",IF(Student_Data[[#This Row],[Marks]]&gt;=60,"C","F"))))</f>
        <v>A+</v>
      </c>
      <c r="K928" t="str">
        <f>IF(Student_Data[[#This Row],[Marks]]&gt;=35,"Pass","Fail")</f>
        <v>Pass</v>
      </c>
    </row>
    <row r="929" spans="1:11" x14ac:dyDescent="0.3">
      <c r="A929" t="s">
        <v>1050</v>
      </c>
      <c r="B929" t="s">
        <v>254</v>
      </c>
      <c r="C929" t="s">
        <v>25</v>
      </c>
      <c r="D929">
        <v>10</v>
      </c>
      <c r="E929" t="s">
        <v>12</v>
      </c>
      <c r="F929" t="s">
        <v>13</v>
      </c>
      <c r="G929">
        <v>88</v>
      </c>
      <c r="H929">
        <v>92</v>
      </c>
      <c r="I929" t="s">
        <v>35</v>
      </c>
      <c r="J929" t="str">
        <f>IF(Student_Data[[#This Row],[Marks]] &gt;= 90,"A+",IF(Student_Data[[#This Row],[Marks]]&gt;=80,"A",IF(Student_Data[[#This Row],[Marks]]&gt;=70,"B",IF(Student_Data[[#This Row],[Marks]]&gt;=60,"C","F"))))</f>
        <v>A</v>
      </c>
      <c r="K929" t="str">
        <f>IF(Student_Data[[#This Row],[Marks]]&gt;=35,"Pass","Fail")</f>
        <v>Pass</v>
      </c>
    </row>
    <row r="930" spans="1:11" x14ac:dyDescent="0.3">
      <c r="A930" t="s">
        <v>1051</v>
      </c>
      <c r="B930" t="s">
        <v>51</v>
      </c>
      <c r="C930" t="s">
        <v>25</v>
      </c>
      <c r="D930">
        <v>12</v>
      </c>
      <c r="E930" t="s">
        <v>12</v>
      </c>
      <c r="F930" t="s">
        <v>43</v>
      </c>
      <c r="G930">
        <v>36</v>
      </c>
      <c r="H930">
        <v>69</v>
      </c>
      <c r="I930" t="s">
        <v>49</v>
      </c>
      <c r="J930" t="str">
        <f>IF(Student_Data[[#This Row],[Marks]] &gt;= 90,"A+",IF(Student_Data[[#This Row],[Marks]]&gt;=80,"A",IF(Student_Data[[#This Row],[Marks]]&gt;=70,"B",IF(Student_Data[[#This Row],[Marks]]&gt;=60,"C","F"))))</f>
        <v>F</v>
      </c>
      <c r="K930" t="str">
        <f>IF(Student_Data[[#This Row],[Marks]]&gt;=35,"Pass","Fail")</f>
        <v>Pass</v>
      </c>
    </row>
    <row r="931" spans="1:11" x14ac:dyDescent="0.3">
      <c r="A931" t="s">
        <v>1052</v>
      </c>
      <c r="B931" t="s">
        <v>88</v>
      </c>
      <c r="C931" t="s">
        <v>11</v>
      </c>
      <c r="D931">
        <v>8</v>
      </c>
      <c r="E931" t="s">
        <v>33</v>
      </c>
      <c r="F931" t="s">
        <v>43</v>
      </c>
      <c r="G931">
        <v>67</v>
      </c>
      <c r="H931">
        <v>66</v>
      </c>
      <c r="I931" t="s">
        <v>49</v>
      </c>
      <c r="J931" t="str">
        <f>IF(Student_Data[[#This Row],[Marks]] &gt;= 90,"A+",IF(Student_Data[[#This Row],[Marks]]&gt;=80,"A",IF(Student_Data[[#This Row],[Marks]]&gt;=70,"B",IF(Student_Data[[#This Row],[Marks]]&gt;=60,"C","F"))))</f>
        <v>C</v>
      </c>
      <c r="K931" t="str">
        <f>IF(Student_Data[[#This Row],[Marks]]&gt;=35,"Pass","Fail")</f>
        <v>Pass</v>
      </c>
    </row>
    <row r="932" spans="1:11" x14ac:dyDescent="0.3">
      <c r="A932" t="s">
        <v>1053</v>
      </c>
      <c r="B932" t="s">
        <v>88</v>
      </c>
      <c r="C932" t="s">
        <v>25</v>
      </c>
      <c r="D932">
        <v>10</v>
      </c>
      <c r="E932" t="s">
        <v>33</v>
      </c>
      <c r="F932" t="s">
        <v>26</v>
      </c>
      <c r="G932">
        <v>50</v>
      </c>
      <c r="H932">
        <v>100</v>
      </c>
      <c r="I932" t="s">
        <v>46</v>
      </c>
      <c r="J932" t="str">
        <f>IF(Student_Data[[#This Row],[Marks]] &gt;= 90,"A+",IF(Student_Data[[#This Row],[Marks]]&gt;=80,"A",IF(Student_Data[[#This Row],[Marks]]&gt;=70,"B",IF(Student_Data[[#This Row],[Marks]]&gt;=60,"C","F"))))</f>
        <v>F</v>
      </c>
      <c r="K932" t="str">
        <f>IF(Student_Data[[#This Row],[Marks]]&gt;=35,"Pass","Fail")</f>
        <v>Pass</v>
      </c>
    </row>
    <row r="933" spans="1:11" x14ac:dyDescent="0.3">
      <c r="A933" t="s">
        <v>1054</v>
      </c>
      <c r="B933" t="s">
        <v>182</v>
      </c>
      <c r="C933" t="s">
        <v>25</v>
      </c>
      <c r="D933">
        <v>6</v>
      </c>
      <c r="E933" t="s">
        <v>33</v>
      </c>
      <c r="F933" t="s">
        <v>22</v>
      </c>
      <c r="G933">
        <v>99</v>
      </c>
      <c r="H933">
        <v>75</v>
      </c>
      <c r="I933" t="s">
        <v>31</v>
      </c>
      <c r="J933" t="str">
        <f>IF(Student_Data[[#This Row],[Marks]] &gt;= 90,"A+",IF(Student_Data[[#This Row],[Marks]]&gt;=80,"A",IF(Student_Data[[#This Row],[Marks]]&gt;=70,"B",IF(Student_Data[[#This Row],[Marks]]&gt;=60,"C","F"))))</f>
        <v>A+</v>
      </c>
      <c r="K933" t="str">
        <f>IF(Student_Data[[#This Row],[Marks]]&gt;=35,"Pass","Fail")</f>
        <v>Pass</v>
      </c>
    </row>
    <row r="934" spans="1:11" x14ac:dyDescent="0.3">
      <c r="A934" t="s">
        <v>1055</v>
      </c>
      <c r="B934" t="s">
        <v>28</v>
      </c>
      <c r="C934" t="s">
        <v>25</v>
      </c>
      <c r="D934">
        <v>8</v>
      </c>
      <c r="E934" t="s">
        <v>17</v>
      </c>
      <c r="F934" t="s">
        <v>22</v>
      </c>
      <c r="G934">
        <v>45</v>
      </c>
      <c r="H934">
        <v>74</v>
      </c>
      <c r="I934" t="s">
        <v>46</v>
      </c>
      <c r="J934" t="str">
        <f>IF(Student_Data[[#This Row],[Marks]] &gt;= 90,"A+",IF(Student_Data[[#This Row],[Marks]]&gt;=80,"A",IF(Student_Data[[#This Row],[Marks]]&gt;=70,"B",IF(Student_Data[[#This Row],[Marks]]&gt;=60,"C","F"))))</f>
        <v>F</v>
      </c>
      <c r="K934" t="str">
        <f>IF(Student_Data[[#This Row],[Marks]]&gt;=35,"Pass","Fail")</f>
        <v>Pass</v>
      </c>
    </row>
    <row r="935" spans="1:11" x14ac:dyDescent="0.3">
      <c r="A935" t="s">
        <v>1056</v>
      </c>
      <c r="B935" t="s">
        <v>114</v>
      </c>
      <c r="C935" t="s">
        <v>11</v>
      </c>
      <c r="D935">
        <v>11</v>
      </c>
      <c r="E935" t="s">
        <v>17</v>
      </c>
      <c r="F935" t="s">
        <v>43</v>
      </c>
      <c r="G935">
        <v>87</v>
      </c>
      <c r="H935">
        <v>88</v>
      </c>
      <c r="I935" t="s">
        <v>19</v>
      </c>
      <c r="J935" t="str">
        <f>IF(Student_Data[[#This Row],[Marks]] &gt;= 90,"A+",IF(Student_Data[[#This Row],[Marks]]&gt;=80,"A",IF(Student_Data[[#This Row],[Marks]]&gt;=70,"B",IF(Student_Data[[#This Row],[Marks]]&gt;=60,"C","F"))))</f>
        <v>A</v>
      </c>
      <c r="K935" t="str">
        <f>IF(Student_Data[[#This Row],[Marks]]&gt;=35,"Pass","Fail")</f>
        <v>Pass</v>
      </c>
    </row>
    <row r="936" spans="1:11" x14ac:dyDescent="0.3">
      <c r="A936" t="s">
        <v>1057</v>
      </c>
      <c r="B936" t="s">
        <v>252</v>
      </c>
      <c r="C936" t="s">
        <v>11</v>
      </c>
      <c r="D936">
        <v>6</v>
      </c>
      <c r="E936" t="s">
        <v>33</v>
      </c>
      <c r="F936" t="s">
        <v>13</v>
      </c>
      <c r="G936">
        <v>93</v>
      </c>
      <c r="H936">
        <v>70</v>
      </c>
      <c r="I936" t="s">
        <v>14</v>
      </c>
      <c r="J936" t="str">
        <f>IF(Student_Data[[#This Row],[Marks]] &gt;= 90,"A+",IF(Student_Data[[#This Row],[Marks]]&gt;=80,"A",IF(Student_Data[[#This Row],[Marks]]&gt;=70,"B",IF(Student_Data[[#This Row],[Marks]]&gt;=60,"C","F"))))</f>
        <v>A+</v>
      </c>
      <c r="K936" t="str">
        <f>IF(Student_Data[[#This Row],[Marks]]&gt;=35,"Pass","Fail")</f>
        <v>Pass</v>
      </c>
    </row>
    <row r="937" spans="1:11" x14ac:dyDescent="0.3">
      <c r="A937" t="s">
        <v>1058</v>
      </c>
      <c r="B937" t="s">
        <v>370</v>
      </c>
      <c r="C937" t="s">
        <v>25</v>
      </c>
      <c r="D937">
        <v>11</v>
      </c>
      <c r="E937" t="s">
        <v>33</v>
      </c>
      <c r="F937" t="s">
        <v>43</v>
      </c>
      <c r="G937">
        <v>73</v>
      </c>
      <c r="H937">
        <v>85</v>
      </c>
      <c r="I937" t="s">
        <v>49</v>
      </c>
      <c r="J937" t="str">
        <f>IF(Student_Data[[#This Row],[Marks]] &gt;= 90,"A+",IF(Student_Data[[#This Row],[Marks]]&gt;=80,"A",IF(Student_Data[[#This Row],[Marks]]&gt;=70,"B",IF(Student_Data[[#This Row],[Marks]]&gt;=60,"C","F"))))</f>
        <v>B</v>
      </c>
      <c r="K937" t="str">
        <f>IF(Student_Data[[#This Row],[Marks]]&gt;=35,"Pass","Fail")</f>
        <v>Pass</v>
      </c>
    </row>
    <row r="938" spans="1:11" x14ac:dyDescent="0.3">
      <c r="A938" t="s">
        <v>1059</v>
      </c>
      <c r="B938" t="s">
        <v>455</v>
      </c>
      <c r="C938" t="s">
        <v>25</v>
      </c>
      <c r="D938">
        <v>8</v>
      </c>
      <c r="E938" t="s">
        <v>17</v>
      </c>
      <c r="F938" t="s">
        <v>18</v>
      </c>
      <c r="G938">
        <v>64</v>
      </c>
      <c r="H938">
        <v>81</v>
      </c>
      <c r="I938" t="s">
        <v>19</v>
      </c>
      <c r="J938" t="str">
        <f>IF(Student_Data[[#This Row],[Marks]] &gt;= 90,"A+",IF(Student_Data[[#This Row],[Marks]]&gt;=80,"A",IF(Student_Data[[#This Row],[Marks]]&gt;=70,"B",IF(Student_Data[[#This Row],[Marks]]&gt;=60,"C","F"))))</f>
        <v>C</v>
      </c>
      <c r="K938" t="str">
        <f>IF(Student_Data[[#This Row],[Marks]]&gt;=35,"Pass","Fail")</f>
        <v>Pass</v>
      </c>
    </row>
    <row r="939" spans="1:11" x14ac:dyDescent="0.3">
      <c r="A939" t="s">
        <v>1060</v>
      </c>
      <c r="B939" t="s">
        <v>195</v>
      </c>
      <c r="C939" t="s">
        <v>25</v>
      </c>
      <c r="D939">
        <v>10</v>
      </c>
      <c r="E939" t="s">
        <v>17</v>
      </c>
      <c r="F939" t="s">
        <v>13</v>
      </c>
      <c r="G939">
        <v>71</v>
      </c>
      <c r="H939">
        <v>62</v>
      </c>
      <c r="I939" t="s">
        <v>35</v>
      </c>
      <c r="J939" t="str">
        <f>IF(Student_Data[[#This Row],[Marks]] &gt;= 90,"A+",IF(Student_Data[[#This Row],[Marks]]&gt;=80,"A",IF(Student_Data[[#This Row],[Marks]]&gt;=70,"B",IF(Student_Data[[#This Row],[Marks]]&gt;=60,"C","F"))))</f>
        <v>B</v>
      </c>
      <c r="K939" t="str">
        <f>IF(Student_Data[[#This Row],[Marks]]&gt;=35,"Pass","Fail")</f>
        <v>Pass</v>
      </c>
    </row>
    <row r="940" spans="1:11" x14ac:dyDescent="0.3">
      <c r="A940" t="s">
        <v>1061</v>
      </c>
      <c r="B940" t="s">
        <v>171</v>
      </c>
      <c r="C940" t="s">
        <v>11</v>
      </c>
      <c r="D940">
        <v>11</v>
      </c>
      <c r="E940" t="s">
        <v>17</v>
      </c>
      <c r="F940" t="s">
        <v>22</v>
      </c>
      <c r="G940">
        <v>44</v>
      </c>
      <c r="H940">
        <v>79</v>
      </c>
      <c r="I940" t="s">
        <v>35</v>
      </c>
      <c r="J940" t="str">
        <f>IF(Student_Data[[#This Row],[Marks]] &gt;= 90,"A+",IF(Student_Data[[#This Row],[Marks]]&gt;=80,"A",IF(Student_Data[[#This Row],[Marks]]&gt;=70,"B",IF(Student_Data[[#This Row],[Marks]]&gt;=60,"C","F"))))</f>
        <v>F</v>
      </c>
      <c r="K940" t="str">
        <f>IF(Student_Data[[#This Row],[Marks]]&gt;=35,"Pass","Fail")</f>
        <v>Pass</v>
      </c>
    </row>
    <row r="941" spans="1:11" x14ac:dyDescent="0.3">
      <c r="A941" t="s">
        <v>1062</v>
      </c>
      <c r="B941" t="s">
        <v>129</v>
      </c>
      <c r="C941" t="s">
        <v>25</v>
      </c>
      <c r="D941">
        <v>11</v>
      </c>
      <c r="E941" t="s">
        <v>12</v>
      </c>
      <c r="F941" t="s">
        <v>34</v>
      </c>
      <c r="G941">
        <v>74</v>
      </c>
      <c r="H941">
        <v>69</v>
      </c>
      <c r="I941" t="s">
        <v>19</v>
      </c>
      <c r="J941" t="str">
        <f>IF(Student_Data[[#This Row],[Marks]] &gt;= 90,"A+",IF(Student_Data[[#This Row],[Marks]]&gt;=80,"A",IF(Student_Data[[#This Row],[Marks]]&gt;=70,"B",IF(Student_Data[[#This Row],[Marks]]&gt;=60,"C","F"))))</f>
        <v>B</v>
      </c>
      <c r="K941" t="str">
        <f>IF(Student_Data[[#This Row],[Marks]]&gt;=35,"Pass","Fail")</f>
        <v>Pass</v>
      </c>
    </row>
    <row r="942" spans="1:11" x14ac:dyDescent="0.3">
      <c r="A942" t="s">
        <v>1063</v>
      </c>
      <c r="B942" t="s">
        <v>141</v>
      </c>
      <c r="C942" t="s">
        <v>25</v>
      </c>
      <c r="D942">
        <v>8</v>
      </c>
      <c r="E942" t="s">
        <v>12</v>
      </c>
      <c r="F942" t="s">
        <v>13</v>
      </c>
      <c r="G942">
        <v>66</v>
      </c>
      <c r="H942">
        <v>67</v>
      </c>
      <c r="I942" t="s">
        <v>49</v>
      </c>
      <c r="J942" t="str">
        <f>IF(Student_Data[[#This Row],[Marks]] &gt;= 90,"A+",IF(Student_Data[[#This Row],[Marks]]&gt;=80,"A",IF(Student_Data[[#This Row],[Marks]]&gt;=70,"B",IF(Student_Data[[#This Row],[Marks]]&gt;=60,"C","F"))))</f>
        <v>C</v>
      </c>
      <c r="K942" t="str">
        <f>IF(Student_Data[[#This Row],[Marks]]&gt;=35,"Pass","Fail")</f>
        <v>Pass</v>
      </c>
    </row>
    <row r="943" spans="1:11" x14ac:dyDescent="0.3">
      <c r="A943" t="s">
        <v>1064</v>
      </c>
      <c r="B943" t="s">
        <v>126</v>
      </c>
      <c r="C943" t="s">
        <v>11</v>
      </c>
      <c r="D943">
        <v>7</v>
      </c>
      <c r="E943" t="s">
        <v>33</v>
      </c>
      <c r="F943" t="s">
        <v>43</v>
      </c>
      <c r="G943">
        <v>52</v>
      </c>
      <c r="H943">
        <v>97</v>
      </c>
      <c r="I943" t="s">
        <v>19</v>
      </c>
      <c r="J943" t="str">
        <f>IF(Student_Data[[#This Row],[Marks]] &gt;= 90,"A+",IF(Student_Data[[#This Row],[Marks]]&gt;=80,"A",IF(Student_Data[[#This Row],[Marks]]&gt;=70,"B",IF(Student_Data[[#This Row],[Marks]]&gt;=60,"C","F"))))</f>
        <v>F</v>
      </c>
      <c r="K943" t="str">
        <f>IF(Student_Data[[#This Row],[Marks]]&gt;=35,"Pass","Fail")</f>
        <v>Pass</v>
      </c>
    </row>
    <row r="944" spans="1:11" x14ac:dyDescent="0.3">
      <c r="A944" t="s">
        <v>1065</v>
      </c>
      <c r="B944" t="s">
        <v>189</v>
      </c>
      <c r="C944" t="s">
        <v>11</v>
      </c>
      <c r="D944">
        <v>11</v>
      </c>
      <c r="E944" t="s">
        <v>33</v>
      </c>
      <c r="F944" t="s">
        <v>13</v>
      </c>
      <c r="G944">
        <v>53</v>
      </c>
      <c r="H944">
        <v>74</v>
      </c>
      <c r="I944" t="s">
        <v>46</v>
      </c>
      <c r="J944" t="str">
        <f>IF(Student_Data[[#This Row],[Marks]] &gt;= 90,"A+",IF(Student_Data[[#This Row],[Marks]]&gt;=80,"A",IF(Student_Data[[#This Row],[Marks]]&gt;=70,"B",IF(Student_Data[[#This Row],[Marks]]&gt;=60,"C","F"))))</f>
        <v>F</v>
      </c>
      <c r="K944" t="str">
        <f>IF(Student_Data[[#This Row],[Marks]]&gt;=35,"Pass","Fail")</f>
        <v>Pass</v>
      </c>
    </row>
    <row r="945" spans="1:11" x14ac:dyDescent="0.3">
      <c r="A945" t="s">
        <v>1066</v>
      </c>
      <c r="B945" t="s">
        <v>423</v>
      </c>
      <c r="C945" t="s">
        <v>11</v>
      </c>
      <c r="D945">
        <v>12</v>
      </c>
      <c r="E945" t="s">
        <v>12</v>
      </c>
      <c r="F945" t="s">
        <v>18</v>
      </c>
      <c r="G945">
        <v>79</v>
      </c>
      <c r="H945">
        <v>94</v>
      </c>
      <c r="I945" t="s">
        <v>46</v>
      </c>
      <c r="J945" t="str">
        <f>IF(Student_Data[[#This Row],[Marks]] &gt;= 90,"A+",IF(Student_Data[[#This Row],[Marks]]&gt;=80,"A",IF(Student_Data[[#This Row],[Marks]]&gt;=70,"B",IF(Student_Data[[#This Row],[Marks]]&gt;=60,"C","F"))))</f>
        <v>B</v>
      </c>
      <c r="K945" t="str">
        <f>IF(Student_Data[[#This Row],[Marks]]&gt;=35,"Pass","Fail")</f>
        <v>Pass</v>
      </c>
    </row>
    <row r="946" spans="1:11" x14ac:dyDescent="0.3">
      <c r="A946" t="s">
        <v>1067</v>
      </c>
      <c r="B946" t="s">
        <v>147</v>
      </c>
      <c r="C946" t="s">
        <v>25</v>
      </c>
      <c r="D946">
        <v>10</v>
      </c>
      <c r="E946" t="s">
        <v>12</v>
      </c>
      <c r="F946" t="s">
        <v>34</v>
      </c>
      <c r="G946">
        <v>36</v>
      </c>
      <c r="H946">
        <v>87</v>
      </c>
      <c r="I946" t="s">
        <v>46</v>
      </c>
      <c r="J946" t="str">
        <f>IF(Student_Data[[#This Row],[Marks]] &gt;= 90,"A+",IF(Student_Data[[#This Row],[Marks]]&gt;=80,"A",IF(Student_Data[[#This Row],[Marks]]&gt;=70,"B",IF(Student_Data[[#This Row],[Marks]]&gt;=60,"C","F"))))</f>
        <v>F</v>
      </c>
      <c r="K946" t="str">
        <f>IF(Student_Data[[#This Row],[Marks]]&gt;=35,"Pass","Fail")</f>
        <v>Pass</v>
      </c>
    </row>
    <row r="947" spans="1:11" x14ac:dyDescent="0.3">
      <c r="A947" t="s">
        <v>1068</v>
      </c>
      <c r="B947" t="s">
        <v>268</v>
      </c>
      <c r="C947" t="s">
        <v>11</v>
      </c>
      <c r="D947">
        <v>7</v>
      </c>
      <c r="E947" t="s">
        <v>12</v>
      </c>
      <c r="F947" t="s">
        <v>34</v>
      </c>
      <c r="G947">
        <v>78</v>
      </c>
      <c r="H947">
        <v>65</v>
      </c>
      <c r="I947" t="s">
        <v>35</v>
      </c>
      <c r="J947" t="str">
        <f>IF(Student_Data[[#This Row],[Marks]] &gt;= 90,"A+",IF(Student_Data[[#This Row],[Marks]]&gt;=80,"A",IF(Student_Data[[#This Row],[Marks]]&gt;=70,"B",IF(Student_Data[[#This Row],[Marks]]&gt;=60,"C","F"))))</f>
        <v>B</v>
      </c>
      <c r="K947" t="str">
        <f>IF(Student_Data[[#This Row],[Marks]]&gt;=35,"Pass","Fail")</f>
        <v>Pass</v>
      </c>
    </row>
    <row r="948" spans="1:11" x14ac:dyDescent="0.3">
      <c r="A948" t="s">
        <v>1069</v>
      </c>
      <c r="B948" t="s">
        <v>96</v>
      </c>
      <c r="C948" t="s">
        <v>11</v>
      </c>
      <c r="D948">
        <v>7</v>
      </c>
      <c r="E948" t="s">
        <v>17</v>
      </c>
      <c r="F948" t="s">
        <v>18</v>
      </c>
      <c r="G948">
        <v>46</v>
      </c>
      <c r="H948">
        <v>77</v>
      </c>
      <c r="I948" t="s">
        <v>19</v>
      </c>
      <c r="J948" t="str">
        <f>IF(Student_Data[[#This Row],[Marks]] &gt;= 90,"A+",IF(Student_Data[[#This Row],[Marks]]&gt;=80,"A",IF(Student_Data[[#This Row],[Marks]]&gt;=70,"B",IF(Student_Data[[#This Row],[Marks]]&gt;=60,"C","F"))))</f>
        <v>F</v>
      </c>
      <c r="K948" t="str">
        <f>IF(Student_Data[[#This Row],[Marks]]&gt;=35,"Pass","Fail")</f>
        <v>Pass</v>
      </c>
    </row>
    <row r="949" spans="1:11" x14ac:dyDescent="0.3">
      <c r="A949" t="s">
        <v>1070</v>
      </c>
      <c r="B949" t="s">
        <v>68</v>
      </c>
      <c r="C949" t="s">
        <v>25</v>
      </c>
      <c r="D949">
        <v>7</v>
      </c>
      <c r="E949" t="s">
        <v>12</v>
      </c>
      <c r="F949" t="s">
        <v>34</v>
      </c>
      <c r="G949">
        <v>72</v>
      </c>
      <c r="H949">
        <v>93</v>
      </c>
      <c r="I949" t="s">
        <v>35</v>
      </c>
      <c r="J949" t="str">
        <f>IF(Student_Data[[#This Row],[Marks]] &gt;= 90,"A+",IF(Student_Data[[#This Row],[Marks]]&gt;=80,"A",IF(Student_Data[[#This Row],[Marks]]&gt;=70,"B",IF(Student_Data[[#This Row],[Marks]]&gt;=60,"C","F"))))</f>
        <v>B</v>
      </c>
      <c r="K949" t="str">
        <f>IF(Student_Data[[#This Row],[Marks]]&gt;=35,"Pass","Fail")</f>
        <v>Pass</v>
      </c>
    </row>
    <row r="950" spans="1:11" x14ac:dyDescent="0.3">
      <c r="A950" t="s">
        <v>1071</v>
      </c>
      <c r="B950" t="s">
        <v>68</v>
      </c>
      <c r="C950" t="s">
        <v>25</v>
      </c>
      <c r="D950">
        <v>11</v>
      </c>
      <c r="E950" t="s">
        <v>33</v>
      </c>
      <c r="F950" t="s">
        <v>26</v>
      </c>
      <c r="G950">
        <v>35</v>
      </c>
      <c r="H950">
        <v>63</v>
      </c>
      <c r="I950" t="s">
        <v>31</v>
      </c>
      <c r="J950" t="str">
        <f>IF(Student_Data[[#This Row],[Marks]] &gt;= 90,"A+",IF(Student_Data[[#This Row],[Marks]]&gt;=80,"A",IF(Student_Data[[#This Row],[Marks]]&gt;=70,"B",IF(Student_Data[[#This Row],[Marks]]&gt;=60,"C","F"))))</f>
        <v>F</v>
      </c>
      <c r="K950" t="str">
        <f>IF(Student_Data[[#This Row],[Marks]]&gt;=35,"Pass","Fail")</f>
        <v>Pass</v>
      </c>
    </row>
    <row r="951" spans="1:11" x14ac:dyDescent="0.3">
      <c r="A951" t="s">
        <v>1072</v>
      </c>
      <c r="B951" t="s">
        <v>141</v>
      </c>
      <c r="C951" t="s">
        <v>11</v>
      </c>
      <c r="D951">
        <v>11</v>
      </c>
      <c r="E951" t="s">
        <v>12</v>
      </c>
      <c r="F951" t="s">
        <v>34</v>
      </c>
      <c r="G951">
        <v>70</v>
      </c>
      <c r="H951">
        <v>95</v>
      </c>
      <c r="I951" t="s">
        <v>40</v>
      </c>
      <c r="J951" t="str">
        <f>IF(Student_Data[[#This Row],[Marks]] &gt;= 90,"A+",IF(Student_Data[[#This Row],[Marks]]&gt;=80,"A",IF(Student_Data[[#This Row],[Marks]]&gt;=70,"B",IF(Student_Data[[#This Row],[Marks]]&gt;=60,"C","F"))))</f>
        <v>B</v>
      </c>
      <c r="K951" t="str">
        <f>IF(Student_Data[[#This Row],[Marks]]&gt;=35,"Pass","Fail")</f>
        <v>Pass</v>
      </c>
    </row>
    <row r="952" spans="1:11" x14ac:dyDescent="0.3">
      <c r="A952" t="s">
        <v>1073</v>
      </c>
      <c r="B952" t="s">
        <v>171</v>
      </c>
      <c r="C952" t="s">
        <v>25</v>
      </c>
      <c r="D952">
        <v>7</v>
      </c>
      <c r="E952" t="s">
        <v>17</v>
      </c>
      <c r="F952" t="s">
        <v>43</v>
      </c>
      <c r="G952">
        <v>87</v>
      </c>
      <c r="H952">
        <v>79</v>
      </c>
      <c r="I952" t="s">
        <v>40</v>
      </c>
      <c r="J952" t="str">
        <f>IF(Student_Data[[#This Row],[Marks]] &gt;= 90,"A+",IF(Student_Data[[#This Row],[Marks]]&gt;=80,"A",IF(Student_Data[[#This Row],[Marks]]&gt;=70,"B",IF(Student_Data[[#This Row],[Marks]]&gt;=60,"C","F"))))</f>
        <v>A</v>
      </c>
      <c r="K952" t="str">
        <f>IF(Student_Data[[#This Row],[Marks]]&gt;=35,"Pass","Fail")</f>
        <v>Pass</v>
      </c>
    </row>
    <row r="953" spans="1:11" x14ac:dyDescent="0.3">
      <c r="A953" t="s">
        <v>1074</v>
      </c>
      <c r="B953" t="s">
        <v>297</v>
      </c>
      <c r="C953" t="s">
        <v>11</v>
      </c>
      <c r="D953">
        <v>7</v>
      </c>
      <c r="E953" t="s">
        <v>12</v>
      </c>
      <c r="F953" t="s">
        <v>18</v>
      </c>
      <c r="G953">
        <v>84</v>
      </c>
      <c r="H953">
        <v>97</v>
      </c>
      <c r="I953" t="s">
        <v>46</v>
      </c>
      <c r="J953" t="str">
        <f>IF(Student_Data[[#This Row],[Marks]] &gt;= 90,"A+",IF(Student_Data[[#This Row],[Marks]]&gt;=80,"A",IF(Student_Data[[#This Row],[Marks]]&gt;=70,"B",IF(Student_Data[[#This Row],[Marks]]&gt;=60,"C","F"))))</f>
        <v>A</v>
      </c>
      <c r="K953" t="str">
        <f>IF(Student_Data[[#This Row],[Marks]]&gt;=35,"Pass","Fail")</f>
        <v>Pass</v>
      </c>
    </row>
    <row r="954" spans="1:11" x14ac:dyDescent="0.3">
      <c r="A954" t="s">
        <v>1075</v>
      </c>
      <c r="B954" t="s">
        <v>82</v>
      </c>
      <c r="C954" t="s">
        <v>11</v>
      </c>
      <c r="D954">
        <v>12</v>
      </c>
      <c r="E954" t="s">
        <v>17</v>
      </c>
      <c r="F954" t="s">
        <v>22</v>
      </c>
      <c r="G954">
        <v>74</v>
      </c>
      <c r="H954">
        <v>70</v>
      </c>
      <c r="I954" t="s">
        <v>40</v>
      </c>
      <c r="J954" t="str">
        <f>IF(Student_Data[[#This Row],[Marks]] &gt;= 90,"A+",IF(Student_Data[[#This Row],[Marks]]&gt;=80,"A",IF(Student_Data[[#This Row],[Marks]]&gt;=70,"B",IF(Student_Data[[#This Row],[Marks]]&gt;=60,"C","F"))))</f>
        <v>B</v>
      </c>
      <c r="K954" t="str">
        <f>IF(Student_Data[[#This Row],[Marks]]&gt;=35,"Pass","Fail")</f>
        <v>Pass</v>
      </c>
    </row>
    <row r="955" spans="1:11" x14ac:dyDescent="0.3">
      <c r="A955" t="s">
        <v>1076</v>
      </c>
      <c r="B955" t="s">
        <v>82</v>
      </c>
      <c r="C955" t="s">
        <v>25</v>
      </c>
      <c r="D955">
        <v>8</v>
      </c>
      <c r="E955" t="s">
        <v>33</v>
      </c>
      <c r="F955" t="s">
        <v>18</v>
      </c>
      <c r="G955">
        <v>63</v>
      </c>
      <c r="H955">
        <v>76</v>
      </c>
      <c r="I955" t="s">
        <v>49</v>
      </c>
      <c r="J955" t="str">
        <f>IF(Student_Data[[#This Row],[Marks]] &gt;= 90,"A+",IF(Student_Data[[#This Row],[Marks]]&gt;=80,"A",IF(Student_Data[[#This Row],[Marks]]&gt;=70,"B",IF(Student_Data[[#This Row],[Marks]]&gt;=60,"C","F"))))</f>
        <v>C</v>
      </c>
      <c r="K955" t="str">
        <f>IF(Student_Data[[#This Row],[Marks]]&gt;=35,"Pass","Fail")</f>
        <v>Pass</v>
      </c>
    </row>
    <row r="956" spans="1:11" x14ac:dyDescent="0.3">
      <c r="A956" t="s">
        <v>1077</v>
      </c>
      <c r="B956" t="s">
        <v>226</v>
      </c>
      <c r="C956" t="s">
        <v>11</v>
      </c>
      <c r="D956">
        <v>10</v>
      </c>
      <c r="E956" t="s">
        <v>33</v>
      </c>
      <c r="F956" t="s">
        <v>43</v>
      </c>
      <c r="G956">
        <v>49</v>
      </c>
      <c r="H956">
        <v>98</v>
      </c>
      <c r="I956" t="s">
        <v>14</v>
      </c>
      <c r="J956" t="str">
        <f>IF(Student_Data[[#This Row],[Marks]] &gt;= 90,"A+",IF(Student_Data[[#This Row],[Marks]]&gt;=80,"A",IF(Student_Data[[#This Row],[Marks]]&gt;=70,"B",IF(Student_Data[[#This Row],[Marks]]&gt;=60,"C","F"))))</f>
        <v>F</v>
      </c>
      <c r="K956" t="str">
        <f>IF(Student_Data[[#This Row],[Marks]]&gt;=35,"Pass","Fail")</f>
        <v>Pass</v>
      </c>
    </row>
    <row r="957" spans="1:11" x14ac:dyDescent="0.3">
      <c r="A957" t="s">
        <v>1078</v>
      </c>
      <c r="B957" t="s">
        <v>297</v>
      </c>
      <c r="C957" t="s">
        <v>11</v>
      </c>
      <c r="D957">
        <v>9</v>
      </c>
      <c r="E957" t="s">
        <v>17</v>
      </c>
      <c r="F957" t="s">
        <v>13</v>
      </c>
      <c r="G957">
        <v>61</v>
      </c>
      <c r="H957">
        <v>99</v>
      </c>
      <c r="I957" t="s">
        <v>31</v>
      </c>
      <c r="J957" t="str">
        <f>IF(Student_Data[[#This Row],[Marks]] &gt;= 90,"A+",IF(Student_Data[[#This Row],[Marks]]&gt;=80,"A",IF(Student_Data[[#This Row],[Marks]]&gt;=70,"B",IF(Student_Data[[#This Row],[Marks]]&gt;=60,"C","F"))))</f>
        <v>C</v>
      </c>
      <c r="K957" t="str">
        <f>IF(Student_Data[[#This Row],[Marks]]&gt;=35,"Pass","Fail")</f>
        <v>Pass</v>
      </c>
    </row>
    <row r="958" spans="1:11" x14ac:dyDescent="0.3">
      <c r="A958" t="s">
        <v>1079</v>
      </c>
      <c r="B958" t="s">
        <v>226</v>
      </c>
      <c r="C958" t="s">
        <v>11</v>
      </c>
      <c r="D958">
        <v>7</v>
      </c>
      <c r="E958" t="s">
        <v>17</v>
      </c>
      <c r="F958" t="s">
        <v>26</v>
      </c>
      <c r="G958">
        <v>51</v>
      </c>
      <c r="H958">
        <v>81</v>
      </c>
      <c r="I958" t="s">
        <v>14</v>
      </c>
      <c r="J958" t="str">
        <f>IF(Student_Data[[#This Row],[Marks]] &gt;= 90,"A+",IF(Student_Data[[#This Row],[Marks]]&gt;=80,"A",IF(Student_Data[[#This Row],[Marks]]&gt;=70,"B",IF(Student_Data[[#This Row],[Marks]]&gt;=60,"C","F"))))</f>
        <v>F</v>
      </c>
      <c r="K958" t="str">
        <f>IF(Student_Data[[#This Row],[Marks]]&gt;=35,"Pass","Fail")</f>
        <v>Pass</v>
      </c>
    </row>
    <row r="959" spans="1:11" x14ac:dyDescent="0.3">
      <c r="A959" t="s">
        <v>1080</v>
      </c>
      <c r="B959" t="s">
        <v>204</v>
      </c>
      <c r="C959" t="s">
        <v>25</v>
      </c>
      <c r="D959">
        <v>6</v>
      </c>
      <c r="E959" t="s">
        <v>17</v>
      </c>
      <c r="F959" t="s">
        <v>18</v>
      </c>
      <c r="G959">
        <v>88</v>
      </c>
      <c r="H959">
        <v>72</v>
      </c>
      <c r="I959" t="s">
        <v>40</v>
      </c>
      <c r="J959" t="str">
        <f>IF(Student_Data[[#This Row],[Marks]] &gt;= 90,"A+",IF(Student_Data[[#This Row],[Marks]]&gt;=80,"A",IF(Student_Data[[#This Row],[Marks]]&gt;=70,"B",IF(Student_Data[[#This Row],[Marks]]&gt;=60,"C","F"))))</f>
        <v>A</v>
      </c>
      <c r="K959" t="str">
        <f>IF(Student_Data[[#This Row],[Marks]]&gt;=35,"Pass","Fail")</f>
        <v>Pass</v>
      </c>
    </row>
    <row r="960" spans="1:11" x14ac:dyDescent="0.3">
      <c r="A960" t="s">
        <v>1081</v>
      </c>
      <c r="B960" t="s">
        <v>45</v>
      </c>
      <c r="C960" t="s">
        <v>11</v>
      </c>
      <c r="D960">
        <v>10</v>
      </c>
      <c r="E960" t="s">
        <v>17</v>
      </c>
      <c r="F960" t="s">
        <v>22</v>
      </c>
      <c r="G960">
        <v>55</v>
      </c>
      <c r="H960">
        <v>63</v>
      </c>
      <c r="I960" t="s">
        <v>40</v>
      </c>
      <c r="J960" t="str">
        <f>IF(Student_Data[[#This Row],[Marks]] &gt;= 90,"A+",IF(Student_Data[[#This Row],[Marks]]&gt;=80,"A",IF(Student_Data[[#This Row],[Marks]]&gt;=70,"B",IF(Student_Data[[#This Row],[Marks]]&gt;=60,"C","F"))))</f>
        <v>F</v>
      </c>
      <c r="K960" t="str">
        <f>IF(Student_Data[[#This Row],[Marks]]&gt;=35,"Pass","Fail")</f>
        <v>Pass</v>
      </c>
    </row>
    <row r="961" spans="1:11" x14ac:dyDescent="0.3">
      <c r="A961" t="s">
        <v>1082</v>
      </c>
      <c r="B961" t="s">
        <v>109</v>
      </c>
      <c r="C961" t="s">
        <v>25</v>
      </c>
      <c r="D961">
        <v>11</v>
      </c>
      <c r="E961" t="s">
        <v>17</v>
      </c>
      <c r="F961" t="s">
        <v>43</v>
      </c>
      <c r="G961">
        <v>77</v>
      </c>
      <c r="H961">
        <v>86</v>
      </c>
      <c r="I961" t="s">
        <v>40</v>
      </c>
      <c r="J961" t="str">
        <f>IF(Student_Data[[#This Row],[Marks]] &gt;= 90,"A+",IF(Student_Data[[#This Row],[Marks]]&gt;=80,"A",IF(Student_Data[[#This Row],[Marks]]&gt;=70,"B",IF(Student_Data[[#This Row],[Marks]]&gt;=60,"C","F"))))</f>
        <v>B</v>
      </c>
      <c r="K961" t="str">
        <f>IF(Student_Data[[#This Row],[Marks]]&gt;=35,"Pass","Fail")</f>
        <v>Pass</v>
      </c>
    </row>
    <row r="962" spans="1:11" x14ac:dyDescent="0.3">
      <c r="A962" t="s">
        <v>1083</v>
      </c>
      <c r="B962" t="s">
        <v>61</v>
      </c>
      <c r="C962" t="s">
        <v>11</v>
      </c>
      <c r="D962">
        <v>8</v>
      </c>
      <c r="E962" t="s">
        <v>17</v>
      </c>
      <c r="F962" t="s">
        <v>22</v>
      </c>
      <c r="G962">
        <v>39</v>
      </c>
      <c r="H962">
        <v>61</v>
      </c>
      <c r="I962" t="s">
        <v>19</v>
      </c>
      <c r="J962" t="str">
        <f>IF(Student_Data[[#This Row],[Marks]] &gt;= 90,"A+",IF(Student_Data[[#This Row],[Marks]]&gt;=80,"A",IF(Student_Data[[#This Row],[Marks]]&gt;=70,"B",IF(Student_Data[[#This Row],[Marks]]&gt;=60,"C","F"))))</f>
        <v>F</v>
      </c>
      <c r="K962" t="str">
        <f>IF(Student_Data[[#This Row],[Marks]]&gt;=35,"Pass","Fail")</f>
        <v>Pass</v>
      </c>
    </row>
    <row r="963" spans="1:11" x14ac:dyDescent="0.3">
      <c r="A963" t="s">
        <v>1084</v>
      </c>
      <c r="B963" t="s">
        <v>10</v>
      </c>
      <c r="C963" t="s">
        <v>11</v>
      </c>
      <c r="D963">
        <v>11</v>
      </c>
      <c r="E963" t="s">
        <v>12</v>
      </c>
      <c r="F963" t="s">
        <v>22</v>
      </c>
      <c r="G963">
        <v>38</v>
      </c>
      <c r="H963">
        <v>74</v>
      </c>
      <c r="I963" t="s">
        <v>14</v>
      </c>
      <c r="J963" t="str">
        <f>IF(Student_Data[[#This Row],[Marks]] &gt;= 90,"A+",IF(Student_Data[[#This Row],[Marks]]&gt;=80,"A",IF(Student_Data[[#This Row],[Marks]]&gt;=70,"B",IF(Student_Data[[#This Row],[Marks]]&gt;=60,"C","F"))))</f>
        <v>F</v>
      </c>
      <c r="K963" t="str">
        <f>IF(Student_Data[[#This Row],[Marks]]&gt;=35,"Pass","Fail")</f>
        <v>Pass</v>
      </c>
    </row>
    <row r="964" spans="1:11" x14ac:dyDescent="0.3">
      <c r="A964" t="s">
        <v>1085</v>
      </c>
      <c r="B964" t="s">
        <v>224</v>
      </c>
      <c r="C964" t="s">
        <v>11</v>
      </c>
      <c r="D964">
        <v>12</v>
      </c>
      <c r="E964" t="s">
        <v>33</v>
      </c>
      <c r="F964" t="s">
        <v>22</v>
      </c>
      <c r="G964">
        <v>91</v>
      </c>
      <c r="H964">
        <v>84</v>
      </c>
      <c r="I964" t="s">
        <v>40</v>
      </c>
      <c r="J964" t="str">
        <f>IF(Student_Data[[#This Row],[Marks]] &gt;= 90,"A+",IF(Student_Data[[#This Row],[Marks]]&gt;=80,"A",IF(Student_Data[[#This Row],[Marks]]&gt;=70,"B",IF(Student_Data[[#This Row],[Marks]]&gt;=60,"C","F"))))</f>
        <v>A+</v>
      </c>
      <c r="K964" t="str">
        <f>IF(Student_Data[[#This Row],[Marks]]&gt;=35,"Pass","Fail")</f>
        <v>Pass</v>
      </c>
    </row>
    <row r="965" spans="1:11" x14ac:dyDescent="0.3">
      <c r="A965" t="s">
        <v>1086</v>
      </c>
      <c r="B965" t="s">
        <v>48</v>
      </c>
      <c r="C965" t="s">
        <v>11</v>
      </c>
      <c r="D965">
        <v>11</v>
      </c>
      <c r="E965" t="s">
        <v>12</v>
      </c>
      <c r="F965" t="s">
        <v>22</v>
      </c>
      <c r="G965">
        <v>35</v>
      </c>
      <c r="H965">
        <v>92</v>
      </c>
      <c r="I965" t="s">
        <v>46</v>
      </c>
      <c r="J965" t="str">
        <f>IF(Student_Data[[#This Row],[Marks]] &gt;= 90,"A+",IF(Student_Data[[#This Row],[Marks]]&gt;=80,"A",IF(Student_Data[[#This Row],[Marks]]&gt;=70,"B",IF(Student_Data[[#This Row],[Marks]]&gt;=60,"C","F"))))</f>
        <v>F</v>
      </c>
      <c r="K965" t="str">
        <f>IF(Student_Data[[#This Row],[Marks]]&gt;=35,"Pass","Fail")</f>
        <v>Pass</v>
      </c>
    </row>
    <row r="966" spans="1:11" x14ac:dyDescent="0.3">
      <c r="A966" t="s">
        <v>1087</v>
      </c>
      <c r="B966" t="s">
        <v>10</v>
      </c>
      <c r="C966" t="s">
        <v>25</v>
      </c>
      <c r="D966">
        <v>7</v>
      </c>
      <c r="E966" t="s">
        <v>17</v>
      </c>
      <c r="F966" t="s">
        <v>26</v>
      </c>
      <c r="G966">
        <v>51</v>
      </c>
      <c r="H966">
        <v>64</v>
      </c>
      <c r="I966" t="s">
        <v>35</v>
      </c>
      <c r="J966" t="str">
        <f>IF(Student_Data[[#This Row],[Marks]] &gt;= 90,"A+",IF(Student_Data[[#This Row],[Marks]]&gt;=80,"A",IF(Student_Data[[#This Row],[Marks]]&gt;=70,"B",IF(Student_Data[[#This Row],[Marks]]&gt;=60,"C","F"))))</f>
        <v>F</v>
      </c>
      <c r="K966" t="str">
        <f>IF(Student_Data[[#This Row],[Marks]]&gt;=35,"Pass","Fail")</f>
        <v>Pass</v>
      </c>
    </row>
    <row r="967" spans="1:11" x14ac:dyDescent="0.3">
      <c r="A967" t="s">
        <v>1088</v>
      </c>
      <c r="B967" t="s">
        <v>80</v>
      </c>
      <c r="C967" t="s">
        <v>11</v>
      </c>
      <c r="D967">
        <v>12</v>
      </c>
      <c r="E967" t="s">
        <v>17</v>
      </c>
      <c r="F967" t="s">
        <v>22</v>
      </c>
      <c r="G967">
        <v>60</v>
      </c>
      <c r="H967">
        <v>83</v>
      </c>
      <c r="I967" t="s">
        <v>49</v>
      </c>
      <c r="J967" t="str">
        <f>IF(Student_Data[[#This Row],[Marks]] &gt;= 90,"A+",IF(Student_Data[[#This Row],[Marks]]&gt;=80,"A",IF(Student_Data[[#This Row],[Marks]]&gt;=70,"B",IF(Student_Data[[#This Row],[Marks]]&gt;=60,"C","F"))))</f>
        <v>C</v>
      </c>
      <c r="K967" t="str">
        <f>IF(Student_Data[[#This Row],[Marks]]&gt;=35,"Pass","Fail")</f>
        <v>Pass</v>
      </c>
    </row>
    <row r="968" spans="1:11" x14ac:dyDescent="0.3">
      <c r="A968" t="s">
        <v>1089</v>
      </c>
      <c r="B968" t="s">
        <v>102</v>
      </c>
      <c r="C968" t="s">
        <v>11</v>
      </c>
      <c r="D968">
        <v>8</v>
      </c>
      <c r="E968" t="s">
        <v>17</v>
      </c>
      <c r="F968" t="s">
        <v>43</v>
      </c>
      <c r="G968">
        <v>65</v>
      </c>
      <c r="H968">
        <v>80</v>
      </c>
      <c r="I968" t="s">
        <v>40</v>
      </c>
      <c r="J968" t="str">
        <f>IF(Student_Data[[#This Row],[Marks]] &gt;= 90,"A+",IF(Student_Data[[#This Row],[Marks]]&gt;=80,"A",IF(Student_Data[[#This Row],[Marks]]&gt;=70,"B",IF(Student_Data[[#This Row],[Marks]]&gt;=60,"C","F"))))</f>
        <v>C</v>
      </c>
      <c r="K968" t="str">
        <f>IF(Student_Data[[#This Row],[Marks]]&gt;=35,"Pass","Fail")</f>
        <v>Pass</v>
      </c>
    </row>
    <row r="969" spans="1:11" x14ac:dyDescent="0.3">
      <c r="A969" t="s">
        <v>1090</v>
      </c>
      <c r="B969" t="s">
        <v>10</v>
      </c>
      <c r="C969" t="s">
        <v>11</v>
      </c>
      <c r="D969">
        <v>8</v>
      </c>
      <c r="E969" t="s">
        <v>33</v>
      </c>
      <c r="F969" t="s">
        <v>18</v>
      </c>
      <c r="G969">
        <v>50</v>
      </c>
      <c r="H969">
        <v>97</v>
      </c>
      <c r="I969" t="s">
        <v>49</v>
      </c>
      <c r="J969" t="str">
        <f>IF(Student_Data[[#This Row],[Marks]] &gt;= 90,"A+",IF(Student_Data[[#This Row],[Marks]]&gt;=80,"A",IF(Student_Data[[#This Row],[Marks]]&gt;=70,"B",IF(Student_Data[[#This Row],[Marks]]&gt;=60,"C","F"))))</f>
        <v>F</v>
      </c>
      <c r="K969" t="str">
        <f>IF(Student_Data[[#This Row],[Marks]]&gt;=35,"Pass","Fail")</f>
        <v>Pass</v>
      </c>
    </row>
    <row r="970" spans="1:11" x14ac:dyDescent="0.3">
      <c r="A970" t="s">
        <v>1091</v>
      </c>
      <c r="B970" t="s">
        <v>90</v>
      </c>
      <c r="C970" t="s">
        <v>11</v>
      </c>
      <c r="D970">
        <v>8</v>
      </c>
      <c r="E970" t="s">
        <v>17</v>
      </c>
      <c r="F970" t="s">
        <v>18</v>
      </c>
      <c r="G970">
        <v>49</v>
      </c>
      <c r="H970">
        <v>82</v>
      </c>
      <c r="I970" t="s">
        <v>14</v>
      </c>
      <c r="J970" t="str">
        <f>IF(Student_Data[[#This Row],[Marks]] &gt;= 90,"A+",IF(Student_Data[[#This Row],[Marks]]&gt;=80,"A",IF(Student_Data[[#This Row],[Marks]]&gt;=70,"B",IF(Student_Data[[#This Row],[Marks]]&gt;=60,"C","F"))))</f>
        <v>F</v>
      </c>
      <c r="K970" t="str">
        <f>IF(Student_Data[[#This Row],[Marks]]&gt;=35,"Pass","Fail")</f>
        <v>Pass</v>
      </c>
    </row>
    <row r="971" spans="1:11" x14ac:dyDescent="0.3">
      <c r="A971" t="s">
        <v>1092</v>
      </c>
      <c r="B971" t="s">
        <v>82</v>
      </c>
      <c r="C971" t="s">
        <v>25</v>
      </c>
      <c r="D971">
        <v>6</v>
      </c>
      <c r="E971" t="s">
        <v>33</v>
      </c>
      <c r="F971" t="s">
        <v>13</v>
      </c>
      <c r="G971">
        <v>60</v>
      </c>
      <c r="H971">
        <v>69</v>
      </c>
      <c r="I971" t="s">
        <v>46</v>
      </c>
      <c r="J971" t="str">
        <f>IF(Student_Data[[#This Row],[Marks]] &gt;= 90,"A+",IF(Student_Data[[#This Row],[Marks]]&gt;=80,"A",IF(Student_Data[[#This Row],[Marks]]&gt;=70,"B",IF(Student_Data[[#This Row],[Marks]]&gt;=60,"C","F"))))</f>
        <v>C</v>
      </c>
      <c r="K971" t="str">
        <f>IF(Student_Data[[#This Row],[Marks]]&gt;=35,"Pass","Fail")</f>
        <v>Pass</v>
      </c>
    </row>
    <row r="972" spans="1:11" x14ac:dyDescent="0.3">
      <c r="A972" t="s">
        <v>1093</v>
      </c>
      <c r="B972" t="s">
        <v>132</v>
      </c>
      <c r="C972" t="s">
        <v>11</v>
      </c>
      <c r="D972">
        <v>8</v>
      </c>
      <c r="E972" t="s">
        <v>12</v>
      </c>
      <c r="F972" t="s">
        <v>43</v>
      </c>
      <c r="G972">
        <v>35</v>
      </c>
      <c r="H972">
        <v>73</v>
      </c>
      <c r="I972" t="s">
        <v>49</v>
      </c>
      <c r="J972" t="str">
        <f>IF(Student_Data[[#This Row],[Marks]] &gt;= 90,"A+",IF(Student_Data[[#This Row],[Marks]]&gt;=80,"A",IF(Student_Data[[#This Row],[Marks]]&gt;=70,"B",IF(Student_Data[[#This Row],[Marks]]&gt;=60,"C","F"))))</f>
        <v>F</v>
      </c>
      <c r="K972" t="str">
        <f>IF(Student_Data[[#This Row],[Marks]]&gt;=35,"Pass","Fail")</f>
        <v>Pass</v>
      </c>
    </row>
    <row r="973" spans="1:11" x14ac:dyDescent="0.3">
      <c r="A973" t="s">
        <v>1094</v>
      </c>
      <c r="B973" t="s">
        <v>100</v>
      </c>
      <c r="C973" t="s">
        <v>25</v>
      </c>
      <c r="D973">
        <v>10</v>
      </c>
      <c r="E973" t="s">
        <v>12</v>
      </c>
      <c r="F973" t="s">
        <v>34</v>
      </c>
      <c r="G973">
        <v>80</v>
      </c>
      <c r="H973">
        <v>65</v>
      </c>
      <c r="I973" t="s">
        <v>31</v>
      </c>
      <c r="J973" t="str">
        <f>IF(Student_Data[[#This Row],[Marks]] &gt;= 90,"A+",IF(Student_Data[[#This Row],[Marks]]&gt;=80,"A",IF(Student_Data[[#This Row],[Marks]]&gt;=70,"B",IF(Student_Data[[#This Row],[Marks]]&gt;=60,"C","F"))))</f>
        <v>A</v>
      </c>
      <c r="K973" t="str">
        <f>IF(Student_Data[[#This Row],[Marks]]&gt;=35,"Pass","Fail")</f>
        <v>Pass</v>
      </c>
    </row>
    <row r="974" spans="1:11" x14ac:dyDescent="0.3">
      <c r="A974" t="s">
        <v>1095</v>
      </c>
      <c r="B974" t="s">
        <v>211</v>
      </c>
      <c r="C974" t="s">
        <v>25</v>
      </c>
      <c r="D974">
        <v>9</v>
      </c>
      <c r="E974" t="s">
        <v>33</v>
      </c>
      <c r="F974" t="s">
        <v>34</v>
      </c>
      <c r="G974">
        <v>44</v>
      </c>
      <c r="H974">
        <v>97</v>
      </c>
      <c r="I974" t="s">
        <v>19</v>
      </c>
      <c r="J974" t="str">
        <f>IF(Student_Data[[#This Row],[Marks]] &gt;= 90,"A+",IF(Student_Data[[#This Row],[Marks]]&gt;=80,"A",IF(Student_Data[[#This Row],[Marks]]&gt;=70,"B",IF(Student_Data[[#This Row],[Marks]]&gt;=60,"C","F"))))</f>
        <v>F</v>
      </c>
      <c r="K974" t="str">
        <f>IF(Student_Data[[#This Row],[Marks]]&gt;=35,"Pass","Fail")</f>
        <v>Pass</v>
      </c>
    </row>
    <row r="975" spans="1:11" x14ac:dyDescent="0.3">
      <c r="A975" t="s">
        <v>1096</v>
      </c>
      <c r="B975" t="s">
        <v>380</v>
      </c>
      <c r="C975" t="s">
        <v>11</v>
      </c>
      <c r="D975">
        <v>9</v>
      </c>
      <c r="E975" t="s">
        <v>12</v>
      </c>
      <c r="F975" t="s">
        <v>13</v>
      </c>
      <c r="G975">
        <v>97</v>
      </c>
      <c r="H975">
        <v>95</v>
      </c>
      <c r="I975" t="s">
        <v>31</v>
      </c>
      <c r="J975" t="str">
        <f>IF(Student_Data[[#This Row],[Marks]] &gt;= 90,"A+",IF(Student_Data[[#This Row],[Marks]]&gt;=80,"A",IF(Student_Data[[#This Row],[Marks]]&gt;=70,"B",IF(Student_Data[[#This Row],[Marks]]&gt;=60,"C","F"))))</f>
        <v>A+</v>
      </c>
      <c r="K975" t="str">
        <f>IF(Student_Data[[#This Row],[Marks]]&gt;=35,"Pass","Fail")</f>
        <v>Pass</v>
      </c>
    </row>
    <row r="976" spans="1:11" x14ac:dyDescent="0.3">
      <c r="A976" t="s">
        <v>1097</v>
      </c>
      <c r="B976" t="s">
        <v>176</v>
      </c>
      <c r="C976" t="s">
        <v>11</v>
      </c>
      <c r="D976">
        <v>10</v>
      </c>
      <c r="E976" t="s">
        <v>12</v>
      </c>
      <c r="F976" t="s">
        <v>13</v>
      </c>
      <c r="G976">
        <v>69</v>
      </c>
      <c r="H976">
        <v>70</v>
      </c>
      <c r="I976" t="s">
        <v>14</v>
      </c>
      <c r="J976" t="str">
        <f>IF(Student_Data[[#This Row],[Marks]] &gt;= 90,"A+",IF(Student_Data[[#This Row],[Marks]]&gt;=80,"A",IF(Student_Data[[#This Row],[Marks]]&gt;=70,"B",IF(Student_Data[[#This Row],[Marks]]&gt;=60,"C","F"))))</f>
        <v>C</v>
      </c>
      <c r="K976" t="str">
        <f>IF(Student_Data[[#This Row],[Marks]]&gt;=35,"Pass","Fail")</f>
        <v>Pass</v>
      </c>
    </row>
    <row r="977" spans="1:11" x14ac:dyDescent="0.3">
      <c r="A977" t="s">
        <v>1098</v>
      </c>
      <c r="B977" t="s">
        <v>88</v>
      </c>
      <c r="C977" t="s">
        <v>11</v>
      </c>
      <c r="D977">
        <v>12</v>
      </c>
      <c r="E977" t="s">
        <v>17</v>
      </c>
      <c r="F977" t="s">
        <v>26</v>
      </c>
      <c r="G977">
        <v>77</v>
      </c>
      <c r="H977">
        <v>94</v>
      </c>
      <c r="I977" t="s">
        <v>31</v>
      </c>
      <c r="J977" t="str">
        <f>IF(Student_Data[[#This Row],[Marks]] &gt;= 90,"A+",IF(Student_Data[[#This Row],[Marks]]&gt;=80,"A",IF(Student_Data[[#This Row],[Marks]]&gt;=70,"B",IF(Student_Data[[#This Row],[Marks]]&gt;=60,"C","F"))))</f>
        <v>B</v>
      </c>
      <c r="K977" t="str">
        <f>IF(Student_Data[[#This Row],[Marks]]&gt;=35,"Pass","Fail")</f>
        <v>Pass</v>
      </c>
    </row>
    <row r="978" spans="1:11" x14ac:dyDescent="0.3">
      <c r="A978" t="s">
        <v>1099</v>
      </c>
      <c r="B978" t="s">
        <v>198</v>
      </c>
      <c r="C978" t="s">
        <v>25</v>
      </c>
      <c r="D978">
        <v>10</v>
      </c>
      <c r="E978" t="s">
        <v>17</v>
      </c>
      <c r="F978" t="s">
        <v>18</v>
      </c>
      <c r="G978">
        <v>81</v>
      </c>
      <c r="H978">
        <v>83</v>
      </c>
      <c r="I978" t="s">
        <v>49</v>
      </c>
      <c r="J978" t="str">
        <f>IF(Student_Data[[#This Row],[Marks]] &gt;= 90,"A+",IF(Student_Data[[#This Row],[Marks]]&gt;=80,"A",IF(Student_Data[[#This Row],[Marks]]&gt;=70,"B",IF(Student_Data[[#This Row],[Marks]]&gt;=60,"C","F"))))</f>
        <v>A</v>
      </c>
      <c r="K978" t="str">
        <f>IF(Student_Data[[#This Row],[Marks]]&gt;=35,"Pass","Fail")</f>
        <v>Pass</v>
      </c>
    </row>
    <row r="979" spans="1:11" x14ac:dyDescent="0.3">
      <c r="A979" t="s">
        <v>1100</v>
      </c>
      <c r="B979" t="s">
        <v>176</v>
      </c>
      <c r="C979" t="s">
        <v>11</v>
      </c>
      <c r="D979">
        <v>8</v>
      </c>
      <c r="E979" t="s">
        <v>17</v>
      </c>
      <c r="F979" t="s">
        <v>34</v>
      </c>
      <c r="G979">
        <v>48</v>
      </c>
      <c r="H979">
        <v>71</v>
      </c>
      <c r="I979" t="s">
        <v>46</v>
      </c>
      <c r="J979" t="str">
        <f>IF(Student_Data[[#This Row],[Marks]] &gt;= 90,"A+",IF(Student_Data[[#This Row],[Marks]]&gt;=80,"A",IF(Student_Data[[#This Row],[Marks]]&gt;=70,"B",IF(Student_Data[[#This Row],[Marks]]&gt;=60,"C","F"))))</f>
        <v>F</v>
      </c>
      <c r="K979" t="str">
        <f>IF(Student_Data[[#This Row],[Marks]]&gt;=35,"Pass","Fail")</f>
        <v>Pass</v>
      </c>
    </row>
    <row r="980" spans="1:11" x14ac:dyDescent="0.3">
      <c r="A980" t="s">
        <v>1101</v>
      </c>
      <c r="B980" t="s">
        <v>432</v>
      </c>
      <c r="C980" t="s">
        <v>25</v>
      </c>
      <c r="D980">
        <v>10</v>
      </c>
      <c r="E980" t="s">
        <v>12</v>
      </c>
      <c r="F980" t="s">
        <v>13</v>
      </c>
      <c r="G980">
        <v>80</v>
      </c>
      <c r="H980">
        <v>78</v>
      </c>
      <c r="I980" t="s">
        <v>35</v>
      </c>
      <c r="J980" t="str">
        <f>IF(Student_Data[[#This Row],[Marks]] &gt;= 90,"A+",IF(Student_Data[[#This Row],[Marks]]&gt;=80,"A",IF(Student_Data[[#This Row],[Marks]]&gt;=70,"B",IF(Student_Data[[#This Row],[Marks]]&gt;=60,"C","F"))))</f>
        <v>A</v>
      </c>
      <c r="K980" t="str">
        <f>IF(Student_Data[[#This Row],[Marks]]&gt;=35,"Pass","Fail")</f>
        <v>Pass</v>
      </c>
    </row>
    <row r="981" spans="1:11" x14ac:dyDescent="0.3">
      <c r="A981" t="s">
        <v>1102</v>
      </c>
      <c r="B981" t="s">
        <v>448</v>
      </c>
      <c r="C981" t="s">
        <v>11</v>
      </c>
      <c r="D981">
        <v>9</v>
      </c>
      <c r="E981" t="s">
        <v>17</v>
      </c>
      <c r="F981" t="s">
        <v>22</v>
      </c>
      <c r="G981">
        <v>48</v>
      </c>
      <c r="H981">
        <v>67</v>
      </c>
      <c r="I981" t="s">
        <v>40</v>
      </c>
      <c r="J981" t="str">
        <f>IF(Student_Data[[#This Row],[Marks]] &gt;= 90,"A+",IF(Student_Data[[#This Row],[Marks]]&gt;=80,"A",IF(Student_Data[[#This Row],[Marks]]&gt;=70,"B",IF(Student_Data[[#This Row],[Marks]]&gt;=60,"C","F"))))</f>
        <v>F</v>
      </c>
      <c r="K981" t="str">
        <f>IF(Student_Data[[#This Row],[Marks]]&gt;=35,"Pass","Fail")</f>
        <v>Pass</v>
      </c>
    </row>
    <row r="982" spans="1:11" x14ac:dyDescent="0.3">
      <c r="A982" t="s">
        <v>1103</v>
      </c>
      <c r="B982" t="s">
        <v>57</v>
      </c>
      <c r="C982" t="s">
        <v>11</v>
      </c>
      <c r="D982">
        <v>9</v>
      </c>
      <c r="E982" t="s">
        <v>33</v>
      </c>
      <c r="F982" t="s">
        <v>18</v>
      </c>
      <c r="G982">
        <v>52</v>
      </c>
      <c r="H982">
        <v>95</v>
      </c>
      <c r="I982" t="s">
        <v>31</v>
      </c>
      <c r="J982" t="str">
        <f>IF(Student_Data[[#This Row],[Marks]] &gt;= 90,"A+",IF(Student_Data[[#This Row],[Marks]]&gt;=80,"A",IF(Student_Data[[#This Row],[Marks]]&gt;=70,"B",IF(Student_Data[[#This Row],[Marks]]&gt;=60,"C","F"))))</f>
        <v>F</v>
      </c>
      <c r="K982" t="str">
        <f>IF(Student_Data[[#This Row],[Marks]]&gt;=35,"Pass","Fail")</f>
        <v>Pass</v>
      </c>
    </row>
    <row r="983" spans="1:11" x14ac:dyDescent="0.3">
      <c r="A983" t="s">
        <v>1104</v>
      </c>
      <c r="B983" t="s">
        <v>179</v>
      </c>
      <c r="C983" t="s">
        <v>11</v>
      </c>
      <c r="D983">
        <v>7</v>
      </c>
      <c r="E983" t="s">
        <v>12</v>
      </c>
      <c r="F983" t="s">
        <v>26</v>
      </c>
      <c r="G983">
        <v>98</v>
      </c>
      <c r="H983">
        <v>63</v>
      </c>
      <c r="I983" t="s">
        <v>31</v>
      </c>
      <c r="J983" t="str">
        <f>IF(Student_Data[[#This Row],[Marks]] &gt;= 90,"A+",IF(Student_Data[[#This Row],[Marks]]&gt;=80,"A",IF(Student_Data[[#This Row],[Marks]]&gt;=70,"B",IF(Student_Data[[#This Row],[Marks]]&gt;=60,"C","F"))))</f>
        <v>A+</v>
      </c>
      <c r="K983" t="str">
        <f>IF(Student_Data[[#This Row],[Marks]]&gt;=35,"Pass","Fail")</f>
        <v>Pass</v>
      </c>
    </row>
    <row r="984" spans="1:11" x14ac:dyDescent="0.3">
      <c r="A984" t="s">
        <v>1105</v>
      </c>
      <c r="B984" t="s">
        <v>88</v>
      </c>
      <c r="C984" t="s">
        <v>25</v>
      </c>
      <c r="D984">
        <v>12</v>
      </c>
      <c r="E984" t="s">
        <v>17</v>
      </c>
      <c r="F984" t="s">
        <v>34</v>
      </c>
      <c r="G984">
        <v>84</v>
      </c>
      <c r="H984">
        <v>60</v>
      </c>
      <c r="I984" t="s">
        <v>46</v>
      </c>
      <c r="J984" t="str">
        <f>IF(Student_Data[[#This Row],[Marks]] &gt;= 90,"A+",IF(Student_Data[[#This Row],[Marks]]&gt;=80,"A",IF(Student_Data[[#This Row],[Marks]]&gt;=70,"B",IF(Student_Data[[#This Row],[Marks]]&gt;=60,"C","F"))))</f>
        <v>A</v>
      </c>
      <c r="K984" t="str">
        <f>IF(Student_Data[[#This Row],[Marks]]&gt;=35,"Pass","Fail")</f>
        <v>Pass</v>
      </c>
    </row>
    <row r="985" spans="1:11" x14ac:dyDescent="0.3">
      <c r="A985" t="s">
        <v>1106</v>
      </c>
      <c r="B985" t="s">
        <v>297</v>
      </c>
      <c r="C985" t="s">
        <v>25</v>
      </c>
      <c r="D985">
        <v>12</v>
      </c>
      <c r="E985" t="s">
        <v>33</v>
      </c>
      <c r="F985" t="s">
        <v>26</v>
      </c>
      <c r="G985">
        <v>55</v>
      </c>
      <c r="H985">
        <v>90</v>
      </c>
      <c r="I985" t="s">
        <v>46</v>
      </c>
      <c r="J985" t="str">
        <f>IF(Student_Data[[#This Row],[Marks]] &gt;= 90,"A+",IF(Student_Data[[#This Row],[Marks]]&gt;=80,"A",IF(Student_Data[[#This Row],[Marks]]&gt;=70,"B",IF(Student_Data[[#This Row],[Marks]]&gt;=60,"C","F"))))</f>
        <v>F</v>
      </c>
      <c r="K985" t="str">
        <f>IF(Student_Data[[#This Row],[Marks]]&gt;=35,"Pass","Fail")</f>
        <v>Pass</v>
      </c>
    </row>
    <row r="986" spans="1:11" x14ac:dyDescent="0.3">
      <c r="A986" t="s">
        <v>1107</v>
      </c>
      <c r="B986" t="s">
        <v>114</v>
      </c>
      <c r="C986" t="s">
        <v>25</v>
      </c>
      <c r="D986">
        <v>9</v>
      </c>
      <c r="E986" t="s">
        <v>12</v>
      </c>
      <c r="F986" t="s">
        <v>13</v>
      </c>
      <c r="G986">
        <v>73</v>
      </c>
      <c r="H986">
        <v>70</v>
      </c>
      <c r="I986" t="s">
        <v>31</v>
      </c>
      <c r="J986" t="str">
        <f>IF(Student_Data[[#This Row],[Marks]] &gt;= 90,"A+",IF(Student_Data[[#This Row],[Marks]]&gt;=80,"A",IF(Student_Data[[#This Row],[Marks]]&gt;=70,"B",IF(Student_Data[[#This Row],[Marks]]&gt;=60,"C","F"))))</f>
        <v>B</v>
      </c>
      <c r="K986" t="str">
        <f>IF(Student_Data[[#This Row],[Marks]]&gt;=35,"Pass","Fail")</f>
        <v>Pass</v>
      </c>
    </row>
    <row r="987" spans="1:11" x14ac:dyDescent="0.3">
      <c r="A987" t="s">
        <v>1108</v>
      </c>
      <c r="B987" t="s">
        <v>285</v>
      </c>
      <c r="C987" t="s">
        <v>11</v>
      </c>
      <c r="D987">
        <v>9</v>
      </c>
      <c r="E987" t="s">
        <v>12</v>
      </c>
      <c r="F987" t="s">
        <v>34</v>
      </c>
      <c r="G987">
        <v>76</v>
      </c>
      <c r="H987">
        <v>75</v>
      </c>
      <c r="I987" t="s">
        <v>49</v>
      </c>
      <c r="J987" t="str">
        <f>IF(Student_Data[[#This Row],[Marks]] &gt;= 90,"A+",IF(Student_Data[[#This Row],[Marks]]&gt;=80,"A",IF(Student_Data[[#This Row],[Marks]]&gt;=70,"B",IF(Student_Data[[#This Row],[Marks]]&gt;=60,"C","F"))))</f>
        <v>B</v>
      </c>
      <c r="K987" t="str">
        <f>IF(Student_Data[[#This Row],[Marks]]&gt;=35,"Pass","Fail")</f>
        <v>Pass</v>
      </c>
    </row>
    <row r="988" spans="1:11" x14ac:dyDescent="0.3">
      <c r="A988" t="s">
        <v>1109</v>
      </c>
      <c r="B988" t="s">
        <v>135</v>
      </c>
      <c r="C988" t="s">
        <v>25</v>
      </c>
      <c r="D988">
        <v>11</v>
      </c>
      <c r="E988" t="s">
        <v>12</v>
      </c>
      <c r="F988" t="s">
        <v>18</v>
      </c>
      <c r="G988">
        <v>68</v>
      </c>
      <c r="H988">
        <v>83</v>
      </c>
      <c r="I988" t="s">
        <v>31</v>
      </c>
      <c r="J988" t="str">
        <f>IF(Student_Data[[#This Row],[Marks]] &gt;= 90,"A+",IF(Student_Data[[#This Row],[Marks]]&gt;=80,"A",IF(Student_Data[[#This Row],[Marks]]&gt;=70,"B",IF(Student_Data[[#This Row],[Marks]]&gt;=60,"C","F"))))</f>
        <v>C</v>
      </c>
      <c r="K988" t="str">
        <f>IF(Student_Data[[#This Row],[Marks]]&gt;=35,"Pass","Fail")</f>
        <v>Pass</v>
      </c>
    </row>
    <row r="989" spans="1:11" x14ac:dyDescent="0.3">
      <c r="A989" t="s">
        <v>1110</v>
      </c>
      <c r="B989" t="s">
        <v>370</v>
      </c>
      <c r="C989" t="s">
        <v>11</v>
      </c>
      <c r="D989">
        <v>10</v>
      </c>
      <c r="E989" t="s">
        <v>12</v>
      </c>
      <c r="F989" t="s">
        <v>26</v>
      </c>
      <c r="G989">
        <v>86</v>
      </c>
      <c r="H989">
        <v>92</v>
      </c>
      <c r="I989" t="s">
        <v>14</v>
      </c>
      <c r="J989" t="str">
        <f>IF(Student_Data[[#This Row],[Marks]] &gt;= 90,"A+",IF(Student_Data[[#This Row],[Marks]]&gt;=80,"A",IF(Student_Data[[#This Row],[Marks]]&gt;=70,"B",IF(Student_Data[[#This Row],[Marks]]&gt;=60,"C","F"))))</f>
        <v>A</v>
      </c>
      <c r="K989" t="str">
        <f>IF(Student_Data[[#This Row],[Marks]]&gt;=35,"Pass","Fail")</f>
        <v>Pass</v>
      </c>
    </row>
    <row r="990" spans="1:11" x14ac:dyDescent="0.3">
      <c r="A990" t="s">
        <v>1111</v>
      </c>
      <c r="B990" t="s">
        <v>61</v>
      </c>
      <c r="C990" t="s">
        <v>25</v>
      </c>
      <c r="D990">
        <v>8</v>
      </c>
      <c r="E990" t="s">
        <v>33</v>
      </c>
      <c r="F990" t="s">
        <v>22</v>
      </c>
      <c r="G990">
        <v>55</v>
      </c>
      <c r="H990">
        <v>80</v>
      </c>
      <c r="I990" t="s">
        <v>49</v>
      </c>
      <c r="J990" t="str">
        <f>IF(Student_Data[[#This Row],[Marks]] &gt;= 90,"A+",IF(Student_Data[[#This Row],[Marks]]&gt;=80,"A",IF(Student_Data[[#This Row],[Marks]]&gt;=70,"B",IF(Student_Data[[#This Row],[Marks]]&gt;=60,"C","F"))))</f>
        <v>F</v>
      </c>
      <c r="K990" t="str">
        <f>IF(Student_Data[[#This Row],[Marks]]&gt;=35,"Pass","Fail")</f>
        <v>Pass</v>
      </c>
    </row>
    <row r="991" spans="1:11" x14ac:dyDescent="0.3">
      <c r="A991" t="s">
        <v>1112</v>
      </c>
      <c r="B991" t="s">
        <v>63</v>
      </c>
      <c r="C991" t="s">
        <v>25</v>
      </c>
      <c r="D991">
        <v>6</v>
      </c>
      <c r="E991" t="s">
        <v>33</v>
      </c>
      <c r="F991" t="s">
        <v>13</v>
      </c>
      <c r="G991">
        <v>84</v>
      </c>
      <c r="H991">
        <v>64</v>
      </c>
      <c r="I991" t="s">
        <v>31</v>
      </c>
      <c r="J991" t="str">
        <f>IF(Student_Data[[#This Row],[Marks]] &gt;= 90,"A+",IF(Student_Data[[#This Row],[Marks]]&gt;=80,"A",IF(Student_Data[[#This Row],[Marks]]&gt;=70,"B",IF(Student_Data[[#This Row],[Marks]]&gt;=60,"C","F"))))</f>
        <v>A</v>
      </c>
      <c r="K991" t="str">
        <f>IF(Student_Data[[#This Row],[Marks]]&gt;=35,"Pass","Fail")</f>
        <v>Pass</v>
      </c>
    </row>
    <row r="992" spans="1:11" x14ac:dyDescent="0.3">
      <c r="A992" t="s">
        <v>1113</v>
      </c>
      <c r="B992" t="s">
        <v>118</v>
      </c>
      <c r="C992" t="s">
        <v>25</v>
      </c>
      <c r="D992">
        <v>11</v>
      </c>
      <c r="E992" t="s">
        <v>12</v>
      </c>
      <c r="F992" t="s">
        <v>26</v>
      </c>
      <c r="G992">
        <v>87</v>
      </c>
      <c r="H992">
        <v>80</v>
      </c>
      <c r="I992" t="s">
        <v>49</v>
      </c>
      <c r="J992" t="str">
        <f>IF(Student_Data[[#This Row],[Marks]] &gt;= 90,"A+",IF(Student_Data[[#This Row],[Marks]]&gt;=80,"A",IF(Student_Data[[#This Row],[Marks]]&gt;=70,"B",IF(Student_Data[[#This Row],[Marks]]&gt;=60,"C","F"))))</f>
        <v>A</v>
      </c>
      <c r="K992" t="str">
        <f>IF(Student_Data[[#This Row],[Marks]]&gt;=35,"Pass","Fail")</f>
        <v>Pass</v>
      </c>
    </row>
    <row r="993" spans="1:11" x14ac:dyDescent="0.3">
      <c r="A993" t="s">
        <v>1114</v>
      </c>
      <c r="B993" t="s">
        <v>452</v>
      </c>
      <c r="C993" t="s">
        <v>25</v>
      </c>
      <c r="D993">
        <v>10</v>
      </c>
      <c r="E993" t="s">
        <v>17</v>
      </c>
      <c r="F993" t="s">
        <v>18</v>
      </c>
      <c r="G993">
        <v>44</v>
      </c>
      <c r="H993">
        <v>75</v>
      </c>
      <c r="I993" t="s">
        <v>49</v>
      </c>
      <c r="J993" t="str">
        <f>IF(Student_Data[[#This Row],[Marks]] &gt;= 90,"A+",IF(Student_Data[[#This Row],[Marks]]&gt;=80,"A",IF(Student_Data[[#This Row],[Marks]]&gt;=70,"B",IF(Student_Data[[#This Row],[Marks]]&gt;=60,"C","F"))))</f>
        <v>F</v>
      </c>
      <c r="K993" t="str">
        <f>IF(Student_Data[[#This Row],[Marks]]&gt;=35,"Pass","Fail")</f>
        <v>Pass</v>
      </c>
    </row>
    <row r="994" spans="1:11" x14ac:dyDescent="0.3">
      <c r="A994" t="s">
        <v>1115</v>
      </c>
      <c r="B994" t="s">
        <v>252</v>
      </c>
      <c r="C994" t="s">
        <v>11</v>
      </c>
      <c r="D994">
        <v>8</v>
      </c>
      <c r="E994" t="s">
        <v>17</v>
      </c>
      <c r="F994" t="s">
        <v>18</v>
      </c>
      <c r="G994">
        <v>71</v>
      </c>
      <c r="H994">
        <v>91</v>
      </c>
      <c r="I994" t="s">
        <v>14</v>
      </c>
      <c r="J994" t="str">
        <f>IF(Student_Data[[#This Row],[Marks]] &gt;= 90,"A+",IF(Student_Data[[#This Row],[Marks]]&gt;=80,"A",IF(Student_Data[[#This Row],[Marks]]&gt;=70,"B",IF(Student_Data[[#This Row],[Marks]]&gt;=60,"C","F"))))</f>
        <v>B</v>
      </c>
      <c r="K994" t="str">
        <f>IF(Student_Data[[#This Row],[Marks]]&gt;=35,"Pass","Fail")</f>
        <v>Pass</v>
      </c>
    </row>
    <row r="995" spans="1:11" x14ac:dyDescent="0.3">
      <c r="A995" t="s">
        <v>1116</v>
      </c>
      <c r="B995" t="s">
        <v>24</v>
      </c>
      <c r="C995" t="s">
        <v>25</v>
      </c>
      <c r="D995">
        <v>8</v>
      </c>
      <c r="E995" t="s">
        <v>17</v>
      </c>
      <c r="F995" t="s">
        <v>26</v>
      </c>
      <c r="G995">
        <v>57</v>
      </c>
      <c r="H995">
        <v>85</v>
      </c>
      <c r="I995" t="s">
        <v>40</v>
      </c>
      <c r="J995" t="str">
        <f>IF(Student_Data[[#This Row],[Marks]] &gt;= 90,"A+",IF(Student_Data[[#This Row],[Marks]]&gt;=80,"A",IF(Student_Data[[#This Row],[Marks]]&gt;=70,"B",IF(Student_Data[[#This Row],[Marks]]&gt;=60,"C","F"))))</f>
        <v>F</v>
      </c>
      <c r="K995" t="str">
        <f>IF(Student_Data[[#This Row],[Marks]]&gt;=35,"Pass","Fail")</f>
        <v>Pass</v>
      </c>
    </row>
    <row r="996" spans="1:11" x14ac:dyDescent="0.3">
      <c r="A996" t="s">
        <v>1117</v>
      </c>
      <c r="B996" t="s">
        <v>316</v>
      </c>
      <c r="C996" t="s">
        <v>11</v>
      </c>
      <c r="D996">
        <v>6</v>
      </c>
      <c r="E996" t="s">
        <v>33</v>
      </c>
      <c r="F996" t="s">
        <v>34</v>
      </c>
      <c r="G996">
        <v>40</v>
      </c>
      <c r="H996">
        <v>80</v>
      </c>
      <c r="I996" t="s">
        <v>46</v>
      </c>
      <c r="J996" t="str">
        <f>IF(Student_Data[[#This Row],[Marks]] &gt;= 90,"A+",IF(Student_Data[[#This Row],[Marks]]&gt;=80,"A",IF(Student_Data[[#This Row],[Marks]]&gt;=70,"B",IF(Student_Data[[#This Row],[Marks]]&gt;=60,"C","F"))))</f>
        <v>F</v>
      </c>
      <c r="K996" t="str">
        <f>IF(Student_Data[[#This Row],[Marks]]&gt;=35,"Pass","Fail")</f>
        <v>Pass</v>
      </c>
    </row>
    <row r="997" spans="1:11" x14ac:dyDescent="0.3">
      <c r="A997" t="s">
        <v>1118</v>
      </c>
      <c r="B997" t="s">
        <v>132</v>
      </c>
      <c r="C997" t="s">
        <v>25</v>
      </c>
      <c r="D997">
        <v>9</v>
      </c>
      <c r="E997" t="s">
        <v>33</v>
      </c>
      <c r="F997" t="s">
        <v>34</v>
      </c>
      <c r="G997">
        <v>49</v>
      </c>
      <c r="H997">
        <v>90</v>
      </c>
      <c r="I997" t="s">
        <v>14</v>
      </c>
      <c r="J997" t="str">
        <f>IF(Student_Data[[#This Row],[Marks]] &gt;= 90,"A+",IF(Student_Data[[#This Row],[Marks]]&gt;=80,"A",IF(Student_Data[[#This Row],[Marks]]&gt;=70,"B",IF(Student_Data[[#This Row],[Marks]]&gt;=60,"C","F"))))</f>
        <v>F</v>
      </c>
      <c r="K997" t="str">
        <f>IF(Student_Data[[#This Row],[Marks]]&gt;=35,"Pass","Fail")</f>
        <v>Pass</v>
      </c>
    </row>
    <row r="998" spans="1:11" x14ac:dyDescent="0.3">
      <c r="A998" t="s">
        <v>1119</v>
      </c>
      <c r="B998" t="s">
        <v>114</v>
      </c>
      <c r="C998" t="s">
        <v>11</v>
      </c>
      <c r="D998">
        <v>7</v>
      </c>
      <c r="E998" t="s">
        <v>33</v>
      </c>
      <c r="F998" t="s">
        <v>43</v>
      </c>
      <c r="G998">
        <v>66</v>
      </c>
      <c r="H998">
        <v>70</v>
      </c>
      <c r="I998" t="s">
        <v>46</v>
      </c>
      <c r="J998" t="str">
        <f>IF(Student_Data[[#This Row],[Marks]] &gt;= 90,"A+",IF(Student_Data[[#This Row],[Marks]]&gt;=80,"A",IF(Student_Data[[#This Row],[Marks]]&gt;=70,"B",IF(Student_Data[[#This Row],[Marks]]&gt;=60,"C","F"))))</f>
        <v>C</v>
      </c>
      <c r="K998" t="str">
        <f>IF(Student_Data[[#This Row],[Marks]]&gt;=35,"Pass","Fail")</f>
        <v>Pass</v>
      </c>
    </row>
    <row r="999" spans="1:11" x14ac:dyDescent="0.3">
      <c r="A999" t="s">
        <v>1120</v>
      </c>
      <c r="B999" t="s">
        <v>129</v>
      </c>
      <c r="C999" t="s">
        <v>11</v>
      </c>
      <c r="D999">
        <v>11</v>
      </c>
      <c r="E999" t="s">
        <v>12</v>
      </c>
      <c r="F999" t="s">
        <v>26</v>
      </c>
      <c r="G999">
        <v>84</v>
      </c>
      <c r="H999">
        <v>71</v>
      </c>
      <c r="I999" t="s">
        <v>49</v>
      </c>
      <c r="J999" t="str">
        <f>IF(Student_Data[[#This Row],[Marks]] &gt;= 90,"A+",IF(Student_Data[[#This Row],[Marks]]&gt;=80,"A",IF(Student_Data[[#This Row],[Marks]]&gt;=70,"B",IF(Student_Data[[#This Row],[Marks]]&gt;=60,"C","F"))))</f>
        <v>A</v>
      </c>
      <c r="K999" t="str">
        <f>IF(Student_Data[[#This Row],[Marks]]&gt;=35,"Pass","Fail")</f>
        <v>Pass</v>
      </c>
    </row>
    <row r="1000" spans="1:11" x14ac:dyDescent="0.3">
      <c r="A1000" t="s">
        <v>1121</v>
      </c>
      <c r="B1000" t="s">
        <v>252</v>
      </c>
      <c r="C1000" t="s">
        <v>11</v>
      </c>
      <c r="D1000">
        <v>9</v>
      </c>
      <c r="E1000" t="s">
        <v>33</v>
      </c>
      <c r="F1000" t="s">
        <v>22</v>
      </c>
      <c r="G1000">
        <v>46</v>
      </c>
      <c r="H1000">
        <v>83</v>
      </c>
      <c r="I1000" t="s">
        <v>35</v>
      </c>
      <c r="J1000" t="str">
        <f>IF(Student_Data[[#This Row],[Marks]] &gt;= 90,"A+",IF(Student_Data[[#This Row],[Marks]]&gt;=80,"A",IF(Student_Data[[#This Row],[Marks]]&gt;=70,"B",IF(Student_Data[[#This Row],[Marks]]&gt;=60,"C","F"))))</f>
        <v>F</v>
      </c>
      <c r="K1000" t="str">
        <f>IF(Student_Data[[#This Row],[Marks]]&gt;=35,"Pass","Fail")</f>
        <v>Pass</v>
      </c>
    </row>
    <row r="1001" spans="1:11" x14ac:dyDescent="0.3">
      <c r="A1001" t="s">
        <v>1122</v>
      </c>
      <c r="B1001" t="s">
        <v>189</v>
      </c>
      <c r="C1001" t="s">
        <v>25</v>
      </c>
      <c r="D1001">
        <v>9</v>
      </c>
      <c r="E1001" t="s">
        <v>33</v>
      </c>
      <c r="F1001" t="s">
        <v>43</v>
      </c>
      <c r="G1001">
        <v>41</v>
      </c>
      <c r="H1001">
        <v>67</v>
      </c>
      <c r="I1001" t="s">
        <v>40</v>
      </c>
      <c r="J1001" t="str">
        <f>IF(Student_Data[[#This Row],[Marks]] &gt;= 90,"A+",IF(Student_Data[[#This Row],[Marks]]&gt;=80,"A",IF(Student_Data[[#This Row],[Marks]]&gt;=70,"B",IF(Student_Data[[#This Row],[Marks]]&gt;=60,"C","F"))))</f>
        <v>F</v>
      </c>
      <c r="K1001" t="str">
        <f>IF(Student_Data[[#This Row],[Marks]]&gt;=35,"Pass","Fail")</f>
        <v>Pass</v>
      </c>
    </row>
    <row r="1002" spans="1:11" x14ac:dyDescent="0.3">
      <c r="A1002" t="s">
        <v>1123</v>
      </c>
      <c r="B1002" t="s">
        <v>84</v>
      </c>
      <c r="C1002" t="s">
        <v>11</v>
      </c>
      <c r="D1002">
        <v>6</v>
      </c>
      <c r="E1002" t="s">
        <v>33</v>
      </c>
      <c r="F1002" t="s">
        <v>13</v>
      </c>
      <c r="G1002">
        <v>84</v>
      </c>
      <c r="H1002">
        <v>74</v>
      </c>
      <c r="I1002" t="s">
        <v>46</v>
      </c>
      <c r="J1002" t="str">
        <f>IF(Student_Data[[#This Row],[Marks]] &gt;= 90,"A+",IF(Student_Data[[#This Row],[Marks]]&gt;=80,"A",IF(Student_Data[[#This Row],[Marks]]&gt;=70,"B",IF(Student_Data[[#This Row],[Marks]]&gt;=60,"C","F"))))</f>
        <v>A</v>
      </c>
      <c r="K1002" t="str">
        <f>IF(Student_Data[[#This Row],[Marks]]&gt;=35,"Pass","Fail")</f>
        <v>Pass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C255-80A6-4750-953D-FCC753FE8DB8}">
  <dimension ref="A1:B4"/>
  <sheetViews>
    <sheetView workbookViewId="0">
      <selection activeCell="M18" sqref="M18"/>
    </sheetView>
  </sheetViews>
  <sheetFormatPr defaultRowHeight="14.4" x14ac:dyDescent="0.3"/>
  <cols>
    <col min="1" max="1" width="12.5546875" bestFit="1" customWidth="1"/>
    <col min="2" max="2" width="15.88671875" bestFit="1" customWidth="1"/>
  </cols>
  <sheetData>
    <row r="1" spans="1:2" x14ac:dyDescent="0.3">
      <c r="A1" s="1" t="s">
        <v>1126</v>
      </c>
      <c r="B1" t="s">
        <v>1128</v>
      </c>
    </row>
    <row r="2" spans="1:2" x14ac:dyDescent="0.3">
      <c r="A2" s="2" t="s">
        <v>11</v>
      </c>
      <c r="B2">
        <v>66.914937759336098</v>
      </c>
    </row>
    <row r="3" spans="1:2" x14ac:dyDescent="0.3">
      <c r="A3" s="2" t="s">
        <v>25</v>
      </c>
      <c r="B3">
        <v>67.801541425818883</v>
      </c>
    </row>
    <row r="4" spans="1:2" x14ac:dyDescent="0.3">
      <c r="A4" s="2" t="s">
        <v>1127</v>
      </c>
      <c r="B4">
        <v>67.374625374625381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C8E52-239A-4729-A597-3848305AB2EA}">
  <dimension ref="A1:J31"/>
  <sheetViews>
    <sheetView showGridLines="0" tabSelected="1" zoomScale="85" zoomScaleNormal="115" workbookViewId="0">
      <selection activeCell="M18" sqref="M18"/>
    </sheetView>
  </sheetViews>
  <sheetFormatPr defaultRowHeight="14.4" x14ac:dyDescent="0.3"/>
  <cols>
    <col min="1" max="1" width="15.5546875" bestFit="1" customWidth="1"/>
    <col min="3" max="3" width="13.21875" bestFit="1" customWidth="1"/>
    <col min="5" max="5" width="12.77734375" bestFit="1" customWidth="1"/>
    <col min="10" max="10" width="8.21875" customWidth="1"/>
  </cols>
  <sheetData>
    <row r="1" spans="1:10" ht="25.8" customHeight="1" thickBot="1" x14ac:dyDescent="0.35">
      <c r="A1" s="9" t="s">
        <v>1134</v>
      </c>
      <c r="B1" s="10"/>
      <c r="C1" s="10"/>
      <c r="D1" s="10"/>
      <c r="E1" s="10"/>
      <c r="F1" s="10"/>
      <c r="G1" s="10"/>
      <c r="H1" s="10"/>
      <c r="I1" s="10"/>
      <c r="J1" s="11"/>
    </row>
    <row r="2" spans="1:10" ht="18" x14ac:dyDescent="0.35">
      <c r="A2" s="13" t="s">
        <v>1129</v>
      </c>
      <c r="B2" s="14"/>
      <c r="C2" s="15" t="s">
        <v>1130</v>
      </c>
      <c r="D2" s="14"/>
      <c r="E2" s="16"/>
      <c r="F2" s="16"/>
      <c r="G2" s="17" t="s">
        <v>1131</v>
      </c>
      <c r="H2" s="14"/>
      <c r="I2" s="17" t="s">
        <v>1132</v>
      </c>
      <c r="J2" s="18"/>
    </row>
    <row r="3" spans="1:10" ht="15.6" customHeight="1" x14ac:dyDescent="0.3">
      <c r="A3" s="19">
        <f>COUNTA(Student_Data[Student ID])</f>
        <v>1001</v>
      </c>
      <c r="B3" s="20"/>
      <c r="C3" s="21">
        <f>AVERAGE(Student_Data[Marks])</f>
        <v>67.374625374625381</v>
      </c>
      <c r="D3" s="20"/>
      <c r="E3" s="22"/>
      <c r="F3" s="22"/>
      <c r="G3" s="23">
        <f>MAX(Student_Data[Marks])</f>
        <v>100</v>
      </c>
      <c r="H3" s="20"/>
      <c r="I3" s="23">
        <f>COUNTIF(Student_Data[Result],"Pass")/ROWS(Student_Data[])</f>
        <v>0.99700299700299699</v>
      </c>
      <c r="J3" s="24"/>
    </row>
    <row r="4" spans="1:10" ht="15" thickBot="1" x14ac:dyDescent="0.35">
      <c r="A4" s="25"/>
      <c r="B4" s="26"/>
      <c r="C4" s="26"/>
      <c r="D4" s="26"/>
      <c r="E4" s="26"/>
      <c r="F4" s="26"/>
      <c r="G4" s="26"/>
      <c r="H4" s="26"/>
      <c r="I4" s="26"/>
      <c r="J4" s="27"/>
    </row>
    <row r="5" spans="1:10" x14ac:dyDescent="0.3">
      <c r="A5" s="12"/>
      <c r="B5" s="4"/>
      <c r="C5" s="4"/>
      <c r="D5" s="4"/>
      <c r="E5" s="4"/>
      <c r="F5" s="4"/>
      <c r="G5" s="4"/>
      <c r="H5" s="4"/>
      <c r="I5" s="4"/>
      <c r="J5" s="5"/>
    </row>
    <row r="6" spans="1:10" x14ac:dyDescent="0.3">
      <c r="A6" s="12"/>
      <c r="B6" s="4"/>
      <c r="C6" s="4"/>
      <c r="D6" s="4"/>
      <c r="E6" s="4"/>
      <c r="F6" s="4"/>
      <c r="G6" s="4"/>
      <c r="H6" s="4"/>
      <c r="I6" s="4"/>
      <c r="J6" s="5"/>
    </row>
    <row r="7" spans="1:10" x14ac:dyDescent="0.3">
      <c r="A7" s="12"/>
      <c r="B7" s="4"/>
      <c r="C7" s="4"/>
      <c r="D7" s="4"/>
      <c r="E7" s="4"/>
      <c r="F7" s="4"/>
      <c r="G7" s="4"/>
      <c r="H7" s="4"/>
      <c r="I7" s="4"/>
      <c r="J7" s="5"/>
    </row>
    <row r="8" spans="1:10" x14ac:dyDescent="0.3">
      <c r="A8" s="12"/>
      <c r="B8" s="4"/>
      <c r="C8" s="4"/>
      <c r="D8" s="4"/>
      <c r="E8" s="4"/>
      <c r="F8" s="4"/>
      <c r="G8" s="4"/>
      <c r="H8" s="4"/>
      <c r="I8" s="4"/>
      <c r="J8" s="5"/>
    </row>
    <row r="9" spans="1:10" x14ac:dyDescent="0.3">
      <c r="A9" s="12"/>
      <c r="B9" s="4"/>
      <c r="C9" s="4"/>
      <c r="D9" s="4"/>
      <c r="E9" s="4"/>
      <c r="F9" s="4"/>
      <c r="G9" s="4"/>
      <c r="H9" s="4"/>
      <c r="I9" s="4"/>
      <c r="J9" s="5"/>
    </row>
    <row r="10" spans="1:10" x14ac:dyDescent="0.3">
      <c r="A10" s="12"/>
      <c r="B10" s="4"/>
      <c r="C10" s="4"/>
      <c r="D10" s="4"/>
      <c r="E10" s="4"/>
      <c r="F10" s="4"/>
      <c r="G10" s="4"/>
      <c r="H10" s="4"/>
      <c r="I10" s="4"/>
      <c r="J10" s="5"/>
    </row>
    <row r="11" spans="1:10" x14ac:dyDescent="0.3">
      <c r="A11" s="12"/>
      <c r="B11" s="4"/>
      <c r="C11" s="4"/>
      <c r="D11" s="4"/>
      <c r="E11" s="4"/>
      <c r="F11" s="4"/>
      <c r="G11" s="4"/>
      <c r="H11" s="4"/>
      <c r="I11" s="4"/>
      <c r="J11" s="5"/>
    </row>
    <row r="12" spans="1:10" x14ac:dyDescent="0.3">
      <c r="A12" s="12"/>
      <c r="B12" s="4"/>
      <c r="C12" s="4"/>
      <c r="D12" s="4"/>
      <c r="E12" s="4"/>
      <c r="F12" s="4"/>
      <c r="G12" s="4"/>
      <c r="H12" s="4"/>
      <c r="I12" s="4"/>
      <c r="J12" s="5"/>
    </row>
    <row r="13" spans="1:10" x14ac:dyDescent="0.3">
      <c r="A13" s="12"/>
      <c r="B13" s="4"/>
      <c r="C13" s="4"/>
      <c r="D13" s="4"/>
      <c r="E13" s="4"/>
      <c r="F13" s="4"/>
      <c r="G13" s="4"/>
      <c r="H13" s="4"/>
      <c r="I13" s="4"/>
      <c r="J13" s="5"/>
    </row>
    <row r="14" spans="1:10" x14ac:dyDescent="0.3">
      <c r="A14" s="12"/>
      <c r="B14" s="4"/>
      <c r="C14" s="4"/>
      <c r="D14" s="4"/>
      <c r="E14" s="4"/>
      <c r="F14" s="4"/>
      <c r="G14" s="4"/>
      <c r="H14" s="4"/>
      <c r="I14" s="4"/>
      <c r="J14" s="5"/>
    </row>
    <row r="15" spans="1:10" x14ac:dyDescent="0.3">
      <c r="A15" s="12"/>
      <c r="B15" s="4"/>
      <c r="C15" s="4"/>
      <c r="D15" s="4"/>
      <c r="E15" s="4"/>
      <c r="F15" s="4"/>
      <c r="G15" s="4"/>
      <c r="H15" s="4"/>
      <c r="I15" s="4"/>
      <c r="J15" s="5"/>
    </row>
    <row r="16" spans="1:10" x14ac:dyDescent="0.3">
      <c r="A16" s="12"/>
      <c r="B16" s="4"/>
      <c r="C16" s="4"/>
      <c r="D16" s="4"/>
      <c r="E16" s="4"/>
      <c r="F16" s="4"/>
      <c r="G16" s="4"/>
      <c r="H16" s="4"/>
      <c r="I16" s="4"/>
      <c r="J16" s="5"/>
    </row>
    <row r="17" spans="1:10" x14ac:dyDescent="0.3">
      <c r="A17" s="12"/>
      <c r="B17" s="4"/>
      <c r="C17" s="4"/>
      <c r="D17" s="4"/>
      <c r="E17" s="4"/>
      <c r="F17" s="4"/>
      <c r="G17" s="4"/>
      <c r="H17" s="4"/>
      <c r="I17" s="4"/>
      <c r="J17" s="5"/>
    </row>
    <row r="18" spans="1:10" x14ac:dyDescent="0.3">
      <c r="A18" s="12"/>
      <c r="B18" s="4"/>
      <c r="C18" s="4"/>
      <c r="D18" s="4"/>
      <c r="E18" s="4"/>
      <c r="F18" s="4"/>
      <c r="G18" s="4"/>
      <c r="H18" s="4"/>
      <c r="I18" s="4"/>
      <c r="J18" s="5"/>
    </row>
    <row r="19" spans="1:10" x14ac:dyDescent="0.3">
      <c r="A19" s="12"/>
      <c r="B19" s="4"/>
      <c r="C19" s="4"/>
      <c r="D19" s="4"/>
      <c r="E19" s="4"/>
      <c r="F19" s="4"/>
      <c r="G19" s="4"/>
      <c r="H19" s="4"/>
      <c r="I19" s="4"/>
      <c r="J19" s="5"/>
    </row>
    <row r="20" spans="1:10" x14ac:dyDescent="0.3">
      <c r="A20" s="12"/>
      <c r="B20" s="4"/>
      <c r="C20" s="4"/>
      <c r="D20" s="4"/>
      <c r="E20" s="4"/>
      <c r="F20" s="4"/>
      <c r="G20" s="4"/>
      <c r="H20" s="4"/>
      <c r="I20" s="4"/>
      <c r="J20" s="5"/>
    </row>
    <row r="21" spans="1:10" x14ac:dyDescent="0.3">
      <c r="A21" s="12"/>
      <c r="B21" s="4"/>
      <c r="C21" s="4"/>
      <c r="D21" s="4"/>
      <c r="E21" s="4"/>
      <c r="F21" s="4"/>
      <c r="G21" s="4"/>
      <c r="H21" s="4"/>
      <c r="I21" s="4"/>
      <c r="J21" s="5"/>
    </row>
    <row r="22" spans="1:10" x14ac:dyDescent="0.3">
      <c r="A22" s="12"/>
      <c r="B22" s="4"/>
      <c r="C22" s="4"/>
      <c r="D22" s="4"/>
      <c r="E22" s="4"/>
      <c r="F22" s="4"/>
      <c r="G22" s="4"/>
      <c r="H22" s="4"/>
      <c r="I22" s="4"/>
      <c r="J22" s="5"/>
    </row>
    <row r="23" spans="1:10" x14ac:dyDescent="0.3">
      <c r="A23" s="12"/>
      <c r="B23" s="4"/>
      <c r="C23" s="4"/>
      <c r="D23" s="4"/>
      <c r="E23" s="4"/>
      <c r="F23" s="4"/>
      <c r="G23" s="4"/>
      <c r="H23" s="4"/>
      <c r="I23" s="4"/>
      <c r="J23" s="5"/>
    </row>
    <row r="24" spans="1:10" x14ac:dyDescent="0.3">
      <c r="A24" s="12"/>
      <c r="B24" s="4"/>
      <c r="C24" s="4"/>
      <c r="D24" s="4"/>
      <c r="E24" s="4"/>
      <c r="F24" s="4"/>
      <c r="G24" s="4"/>
      <c r="H24" s="4"/>
      <c r="I24" s="4"/>
      <c r="J24" s="5"/>
    </row>
    <row r="25" spans="1:10" x14ac:dyDescent="0.3">
      <c r="A25" s="12"/>
      <c r="B25" s="4"/>
      <c r="C25" s="4"/>
      <c r="D25" s="4"/>
      <c r="E25" s="4"/>
      <c r="F25" s="4"/>
      <c r="G25" s="4"/>
      <c r="H25" s="4"/>
      <c r="I25" s="4"/>
      <c r="J25" s="5"/>
    </row>
    <row r="26" spans="1:10" x14ac:dyDescent="0.3">
      <c r="A26" s="12"/>
      <c r="B26" s="4"/>
      <c r="C26" s="4"/>
      <c r="D26" s="4"/>
      <c r="E26" s="4"/>
      <c r="F26" s="4"/>
      <c r="G26" s="4"/>
      <c r="H26" s="4"/>
      <c r="I26" s="4"/>
      <c r="J26" s="5"/>
    </row>
    <row r="27" spans="1:10" x14ac:dyDescent="0.3">
      <c r="A27" s="12"/>
      <c r="B27" s="4"/>
      <c r="C27" s="4"/>
      <c r="D27" s="4"/>
      <c r="E27" s="4"/>
      <c r="F27" s="4"/>
      <c r="G27" s="4"/>
      <c r="H27" s="4"/>
      <c r="I27" s="4"/>
      <c r="J27" s="5"/>
    </row>
    <row r="28" spans="1:10" x14ac:dyDescent="0.3">
      <c r="A28" s="12"/>
      <c r="B28" s="4"/>
      <c r="C28" s="4"/>
      <c r="D28" s="4"/>
      <c r="E28" s="4"/>
      <c r="F28" s="4"/>
      <c r="G28" s="4"/>
      <c r="H28" s="4"/>
      <c r="I28" s="4"/>
      <c r="J28" s="5"/>
    </row>
    <row r="29" spans="1:10" x14ac:dyDescent="0.3">
      <c r="A29" s="12"/>
      <c r="B29" s="4"/>
      <c r="C29" s="4"/>
      <c r="D29" s="4"/>
      <c r="E29" s="4"/>
      <c r="F29" s="4"/>
      <c r="G29" s="4"/>
      <c r="H29" s="4"/>
      <c r="I29" s="4"/>
      <c r="J29" s="5"/>
    </row>
    <row r="30" spans="1:10" x14ac:dyDescent="0.3">
      <c r="A30" s="12"/>
      <c r="B30" s="4"/>
      <c r="C30" s="4"/>
      <c r="D30" s="4"/>
      <c r="E30" s="4"/>
      <c r="F30" s="4"/>
      <c r="G30" s="4"/>
      <c r="H30" s="4"/>
      <c r="I30" s="4"/>
      <c r="J30" s="5"/>
    </row>
    <row r="31" spans="1:10" ht="15" thickBot="1" x14ac:dyDescent="0.35">
      <c r="A31" s="6"/>
      <c r="B31" s="7"/>
      <c r="C31" s="7"/>
      <c r="D31" s="7"/>
      <c r="E31" s="7"/>
      <c r="F31" s="7"/>
      <c r="G31" s="7"/>
      <c r="H31" s="7"/>
      <c r="I31" s="7"/>
      <c r="J31" s="8"/>
    </row>
  </sheetData>
  <mergeCells count="1">
    <mergeCell ref="A1:J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5D0A8E-7A1D-4C76-9938-0187EBE0A1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Pivot_Subject</vt:lpstr>
      <vt:lpstr>Pivot_Class</vt:lpstr>
      <vt:lpstr>Pivot_City</vt:lpstr>
      <vt:lpstr>Student_Data</vt:lpstr>
      <vt:lpstr>Pivot_Gender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subrat mahapatra</dc:creator>
  <cp:lastModifiedBy>subrat mahapatra</cp:lastModifiedBy>
  <dcterms:created xsi:type="dcterms:W3CDTF">2026-08-03T12:12:50Z</dcterms:created>
  <dcterms:modified xsi:type="dcterms:W3CDTF">2026-08-05T03:50:57Z</dcterms:modified>
</cp:coreProperties>
</file>